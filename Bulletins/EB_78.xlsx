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TS\BULLETINS\"/>
    </mc:Choice>
  </mc:AlternateContent>
  <xr:revisionPtr revIDLastSave="0" documentId="8_{5E4F0836-053A-4686-A7D5-854D9E973D9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BLL" sheetId="2" r:id="rId1"/>
    <sheet name="GRILLE_PRINT" sheetId="26" state="hidden" r:id="rId2"/>
    <sheet name="Gr1P (2)" sheetId="27" state="hidden" r:id="rId3"/>
    <sheet name="Gr2P (2)" sheetId="28" state="hidden" r:id="rId4"/>
    <sheet name="GrEXM1S (2)" sheetId="2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37" i="2" l="1"/>
  <c r="A5" i="26" l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N37" i="2" l="1"/>
  <c r="L26" i="2"/>
  <c r="N26" i="2" l="1"/>
  <c r="N44" i="2" l="1"/>
  <c r="L44" i="2"/>
  <c r="K44" i="2"/>
  <c r="P44" i="2" l="1"/>
  <c r="P40" i="2"/>
  <c r="P39" i="2"/>
  <c r="P32" i="2"/>
  <c r="P29" i="2"/>
  <c r="P28" i="2"/>
  <c r="P24" i="2"/>
  <c r="P25" i="2"/>
  <c r="P23" i="2"/>
  <c r="K16" i="2"/>
  <c r="L16" i="2"/>
  <c r="N16" i="2"/>
  <c r="N41" i="2"/>
  <c r="L41" i="2"/>
  <c r="K41" i="2"/>
  <c r="L37" i="2"/>
  <c r="L30" i="2"/>
  <c r="K30" i="2"/>
  <c r="K26" i="2"/>
  <c r="N21" i="2"/>
  <c r="R14" i="2" l="1"/>
  <c r="R32" i="2"/>
  <c r="R24" i="2"/>
  <c r="R15" i="2"/>
  <c r="R13" i="2"/>
  <c r="R12" i="2"/>
  <c r="R23" i="2"/>
  <c r="P41" i="2"/>
  <c r="R40" i="2"/>
  <c r="R35" i="2"/>
  <c r="R34" i="2"/>
  <c r="R33" i="2"/>
  <c r="R29" i="2"/>
  <c r="P30" i="2"/>
  <c r="R28" i="2"/>
  <c r="R25" i="2"/>
  <c r="P26" i="2"/>
  <c r="R20" i="2"/>
  <c r="R19" i="2"/>
  <c r="R18" i="2"/>
  <c r="R39" i="2"/>
  <c r="R43" i="2"/>
  <c r="R44" i="2" s="1"/>
  <c r="R21" i="2" l="1"/>
  <c r="R30" i="2"/>
  <c r="R26" i="2"/>
  <c r="R16" i="2"/>
  <c r="R41" i="2"/>
  <c r="R37" i="2"/>
</calcChain>
</file>

<file path=xl/sharedStrings.xml><?xml version="1.0" encoding="utf-8"?>
<sst xmlns="http://schemas.openxmlformats.org/spreadsheetml/2006/main" count="815" uniqueCount="370">
  <si>
    <t>PREMIER SEMESTRE</t>
  </si>
  <si>
    <t>MAXIMA GENERAUX</t>
  </si>
  <si>
    <t>TOTAUX</t>
  </si>
  <si>
    <t>POURCENTAGE</t>
  </si>
  <si>
    <t>APPLICATION</t>
  </si>
  <si>
    <t>CONDUITE</t>
  </si>
  <si>
    <t>POST NOM</t>
  </si>
  <si>
    <t>NOM</t>
  </si>
  <si>
    <t>%</t>
  </si>
  <si>
    <t>ILUNGA</t>
  </si>
  <si>
    <t>KABONGO</t>
  </si>
  <si>
    <t>NGANDU</t>
  </si>
  <si>
    <t>NGALULA</t>
  </si>
  <si>
    <t>Français</t>
  </si>
  <si>
    <t>TRAVAUX 
JOURNAL</t>
  </si>
  <si>
    <t>TOTAL
GENERAL</t>
  </si>
  <si>
    <t>DOMAINE DES SCIENCES</t>
  </si>
  <si>
    <t>Sous-domaine des Mathématiques</t>
  </si>
  <si>
    <t>Algèbre</t>
  </si>
  <si>
    <t>Arithmétique</t>
  </si>
  <si>
    <t>Géométrie</t>
  </si>
  <si>
    <t>Sous-Total</t>
  </si>
  <si>
    <t>Sous-domaine des Sciences de la Vie et de la Terre</t>
  </si>
  <si>
    <t>Anatomie</t>
  </si>
  <si>
    <t xml:space="preserve">Botanique
</t>
  </si>
  <si>
    <t>Zoologie</t>
  </si>
  <si>
    <t>Sous-domaine des Sciences Physiques, Technologie et TIC</t>
  </si>
  <si>
    <t>Sciences Physiques</t>
  </si>
  <si>
    <t>Technologie</t>
  </si>
  <si>
    <t>Tech. d'Info. &amp; Com (TIC)</t>
  </si>
  <si>
    <t>DOMAINE DES LANGUES</t>
  </si>
  <si>
    <t>Anglais</t>
  </si>
  <si>
    <t>Géographie</t>
  </si>
  <si>
    <t>Histoire</t>
  </si>
  <si>
    <t>DOMAINE DES ARTS</t>
  </si>
  <si>
    <t>Dessin</t>
  </si>
  <si>
    <t>Musique</t>
  </si>
  <si>
    <t>DOMAINE DU DEVELOPPEMENT PERSONNEL</t>
  </si>
  <si>
    <t>Education physique</t>
  </si>
  <si>
    <t>SIGNATURE</t>
  </si>
  <si>
    <r>
      <rPr>
        <sz val="7"/>
        <color theme="1"/>
        <rFont val="Times New Roman"/>
        <family val="1"/>
      </rPr>
      <t xml:space="preserve">PASSE (1) 
DOUBLE (1)
LE…./..../20….
Le Chef d'Etablissement
Sceau de l'école
</t>
    </r>
    <r>
      <rPr>
        <sz val="8"/>
        <color theme="1"/>
        <rFont val="Times New Roman"/>
        <family val="1"/>
      </rPr>
      <t xml:space="preserve">
</t>
    </r>
  </si>
  <si>
    <t>EXAMAN
REPECHAGE</t>
  </si>
  <si>
    <t>DEUXIEME SEMESTRE</t>
  </si>
  <si>
    <t>GRILLE DES COTES PREMIERE PERIODE</t>
  </si>
  <si>
    <t>Statistique</t>
  </si>
  <si>
    <t>Botanique</t>
  </si>
  <si>
    <t>Tech. D'Info. &amp; Com (TIC)</t>
  </si>
  <si>
    <t>Religion</t>
  </si>
  <si>
    <t>Education à la vie</t>
  </si>
  <si>
    <t>Edu. Civ. Et Morale</t>
  </si>
  <si>
    <t>ASUMANI</t>
  </si>
  <si>
    <t>MUJINGA</t>
  </si>
  <si>
    <t>KABANGU</t>
  </si>
  <si>
    <t>KOSANZI</t>
  </si>
  <si>
    <t>LUKANU</t>
  </si>
  <si>
    <t>NUANUA</t>
  </si>
  <si>
    <t>MAVINGA</t>
  </si>
  <si>
    <t>PLACE/NRE D'ELEVES</t>
  </si>
  <si>
    <t>40</t>
  </si>
  <si>
    <t>10</t>
  </si>
  <si>
    <t>20</t>
  </si>
  <si>
    <t>102</t>
  </si>
  <si>
    <t>103</t>
  </si>
  <si>
    <t>104</t>
  </si>
  <si>
    <t>105</t>
  </si>
  <si>
    <t>106</t>
  </si>
  <si>
    <t>107</t>
  </si>
  <si>
    <t>108</t>
  </si>
  <si>
    <t>30</t>
  </si>
  <si>
    <t>70</t>
  </si>
  <si>
    <t>202</t>
  </si>
  <si>
    <t>203</t>
  </si>
  <si>
    <t>204</t>
  </si>
  <si>
    <t>205</t>
  </si>
  <si>
    <t>206</t>
  </si>
  <si>
    <t>207</t>
  </si>
  <si>
    <t>208</t>
  </si>
  <si>
    <t>209</t>
  </si>
  <si>
    <t>100</t>
  </si>
  <si>
    <t>2010</t>
  </si>
  <si>
    <t>2011</t>
  </si>
  <si>
    <t>2012</t>
  </si>
  <si>
    <t>2014</t>
  </si>
  <si>
    <t>2015</t>
  </si>
  <si>
    <t>2016</t>
  </si>
  <si>
    <t>80</t>
  </si>
  <si>
    <t>60</t>
  </si>
  <si>
    <t>140</t>
  </si>
  <si>
    <t>402</t>
  </si>
  <si>
    <t>403</t>
  </si>
  <si>
    <t>404</t>
  </si>
  <si>
    <t>405</t>
  </si>
  <si>
    <t>406</t>
  </si>
  <si>
    <t>407</t>
  </si>
  <si>
    <t>408</t>
  </si>
  <si>
    <t>409</t>
  </si>
  <si>
    <t>GRILLE DES COTES DEUXIEME PERIODE</t>
  </si>
  <si>
    <t>GRILLE DES COTES EXAMEN PREMIER SEMESTRE</t>
  </si>
  <si>
    <t>Ed. civ. et morale</t>
  </si>
  <si>
    <t>ABUZA</t>
  </si>
  <si>
    <t>LIMBASA</t>
  </si>
  <si>
    <t>ALINGIA</t>
  </si>
  <si>
    <t>NZANGI</t>
  </si>
  <si>
    <t>TANDO</t>
  </si>
  <si>
    <t>AUKO</t>
  </si>
  <si>
    <t>TSHEMA</t>
  </si>
  <si>
    <t>BADJOKO</t>
  </si>
  <si>
    <t>NGOLU</t>
  </si>
  <si>
    <t>BAJANA</t>
  </si>
  <si>
    <t>LOMA</t>
  </si>
  <si>
    <t>BALUSA</t>
  </si>
  <si>
    <t>META</t>
  </si>
  <si>
    <t>BEBE</t>
  </si>
  <si>
    <t>MASINKIE</t>
  </si>
  <si>
    <t>BENGA</t>
  </si>
  <si>
    <t>BANDU</t>
  </si>
  <si>
    <t>BOKWEYA</t>
  </si>
  <si>
    <t>BOKA</t>
  </si>
  <si>
    <t>BUNDUKI</t>
  </si>
  <si>
    <t>YALA</t>
  </si>
  <si>
    <t>BUTUNG</t>
  </si>
  <si>
    <t>CHANCELINE</t>
  </si>
  <si>
    <t>EBANDJA</t>
  </si>
  <si>
    <t>LUBIEKO</t>
  </si>
  <si>
    <t>EFUPA</t>
  </si>
  <si>
    <t>MITEKE</t>
  </si>
  <si>
    <t>EWUZA</t>
  </si>
  <si>
    <t>KADIMA</t>
  </si>
  <si>
    <t>FUNDI</t>
  </si>
  <si>
    <t>NDOMBASI</t>
  </si>
  <si>
    <t>GIGANDU</t>
  </si>
  <si>
    <t>MONIKA</t>
  </si>
  <si>
    <t>KALUKULA</t>
  </si>
  <si>
    <t>MUKANYA</t>
  </si>
  <si>
    <t>KANGOMA</t>
  </si>
  <si>
    <t>LOLA</t>
  </si>
  <si>
    <t>KANI</t>
  </si>
  <si>
    <t>BENYANGA</t>
  </si>
  <si>
    <t>KANKU</t>
  </si>
  <si>
    <t>KABAMBA</t>
  </si>
  <si>
    <t>KANTU</t>
  </si>
  <si>
    <t>KIPASA</t>
  </si>
  <si>
    <t>KABISU</t>
  </si>
  <si>
    <t xml:space="preserve">KAPINGA </t>
  </si>
  <si>
    <t>MULUMBA</t>
  </si>
  <si>
    <t>KAPONGO</t>
  </si>
  <si>
    <t>KALANGA</t>
  </si>
  <si>
    <t>KENA</t>
  </si>
  <si>
    <t>TSHIMBA</t>
  </si>
  <si>
    <t>KIKWALA</t>
  </si>
  <si>
    <t>TANSIA</t>
  </si>
  <si>
    <t>KITESIA</t>
  </si>
  <si>
    <t>MABOSO</t>
  </si>
  <si>
    <t>MEGE</t>
  </si>
  <si>
    <t>KWILA</t>
  </si>
  <si>
    <t>MUENDELE</t>
  </si>
  <si>
    <t>LOBOTA</t>
  </si>
  <si>
    <t>MITERE</t>
  </si>
  <si>
    <t>LOKELE</t>
  </si>
  <si>
    <t>TSHITUKA</t>
  </si>
  <si>
    <t>LOSAMBO</t>
  </si>
  <si>
    <t>KINAYENGE</t>
  </si>
  <si>
    <t>NZAU</t>
  </si>
  <si>
    <t>LUPASA</t>
  </si>
  <si>
    <t>ALEXANDRINE</t>
  </si>
  <si>
    <t>MAKASI</t>
  </si>
  <si>
    <t>ZOLANTINA</t>
  </si>
  <si>
    <t>MAMBOKA</t>
  </si>
  <si>
    <t>LIMBAYA</t>
  </si>
  <si>
    <t>MANGANZA</t>
  </si>
  <si>
    <t>KALESE</t>
  </si>
  <si>
    <t>MASSAMBA</t>
  </si>
  <si>
    <t>LUTALANA</t>
  </si>
  <si>
    <t>KILOLO</t>
  </si>
  <si>
    <t>MBALAYI</t>
  </si>
  <si>
    <t>MBUNGU</t>
  </si>
  <si>
    <t>FULAKIO</t>
  </si>
  <si>
    <t>MBUSU</t>
  </si>
  <si>
    <t>LESSEY</t>
  </si>
  <si>
    <t>KASHALA</t>
  </si>
  <si>
    <t>MINGONDO</t>
  </si>
  <si>
    <t>NOMASHOMBO</t>
  </si>
  <si>
    <t>MISENGABU</t>
  </si>
  <si>
    <t>MBUYAMA</t>
  </si>
  <si>
    <t>MOBA</t>
  </si>
  <si>
    <t>MWENZE</t>
  </si>
  <si>
    <t>MOKANGO</t>
  </si>
  <si>
    <t>ONDO</t>
  </si>
  <si>
    <t>MOKIDI</t>
  </si>
  <si>
    <t>LAMBI</t>
  </si>
  <si>
    <t>MONSEMVULA</t>
  </si>
  <si>
    <t>KINGA</t>
  </si>
  <si>
    <t>MPONO</t>
  </si>
  <si>
    <t>MADIA</t>
  </si>
  <si>
    <t>MPOZO</t>
  </si>
  <si>
    <t>LUKUSA</t>
  </si>
  <si>
    <t>MUKALA</t>
  </si>
  <si>
    <t>MOMBUKU</t>
  </si>
  <si>
    <t>MUKUBA</t>
  </si>
  <si>
    <t>LIAMBI</t>
  </si>
  <si>
    <t>MUSANGANA</t>
  </si>
  <si>
    <t>MUAMBA</t>
  </si>
  <si>
    <t>NDAYA</t>
  </si>
  <si>
    <t>KABEYA</t>
  </si>
  <si>
    <t>NDUDI</t>
  </si>
  <si>
    <t>TSHILOMBO</t>
  </si>
  <si>
    <t>NGAMABA</t>
  </si>
  <si>
    <t>LESSIE</t>
  </si>
  <si>
    <t xml:space="preserve">NGONDO </t>
  </si>
  <si>
    <t>NGINDU</t>
  </si>
  <si>
    <t>NSEYA</t>
  </si>
  <si>
    <t>TSHILONDA</t>
  </si>
  <si>
    <t>NTUMBA</t>
  </si>
  <si>
    <t xml:space="preserve">RAÏME </t>
  </si>
  <si>
    <t>NYAMABO</t>
  </si>
  <si>
    <t>ATANGE</t>
  </si>
  <si>
    <t>SEKELA</t>
  </si>
  <si>
    <t>YABENDA</t>
  </si>
  <si>
    <t>SIDI</t>
  </si>
  <si>
    <t>BETA</t>
  </si>
  <si>
    <t>SONGA</t>
  </si>
  <si>
    <t>ZANGO</t>
  </si>
  <si>
    <t>TSHAMA</t>
  </si>
  <si>
    <t>BELEZI</t>
  </si>
  <si>
    <t>TSHIONDO</t>
  </si>
  <si>
    <t>TUBANZA</t>
  </si>
  <si>
    <t>PATU</t>
  </si>
  <si>
    <t>TUMBA</t>
  </si>
  <si>
    <t>KONGOLO</t>
  </si>
  <si>
    <t>WEDJANO</t>
  </si>
  <si>
    <t>ONGEYA</t>
  </si>
  <si>
    <t>N°</t>
  </si>
  <si>
    <t>TATOBO</t>
  </si>
  <si>
    <t>KALUNGA</t>
  </si>
  <si>
    <t>AMBA</t>
  </si>
  <si>
    <t>SHAY</t>
  </si>
  <si>
    <t>MANSAKA</t>
  </si>
  <si>
    <t>NGAMALA</t>
  </si>
  <si>
    <t>KABEMBA</t>
  </si>
  <si>
    <t>MBELU</t>
  </si>
  <si>
    <t>KALONJI</t>
  </si>
  <si>
    <t>MITEBE</t>
  </si>
  <si>
    <t>PONGO</t>
  </si>
  <si>
    <t>MASINGA</t>
  </si>
  <si>
    <t>MANKELE</t>
  </si>
  <si>
    <t>BOLUMBU</t>
  </si>
  <si>
    <t>MBULIBA</t>
  </si>
  <si>
    <t>OWESE</t>
  </si>
  <si>
    <t>AKONYI</t>
  </si>
  <si>
    <t>NGONGO</t>
  </si>
  <si>
    <t>MOKANI</t>
  </si>
  <si>
    <t>BATEY</t>
  </si>
  <si>
    <t>MASEBA</t>
  </si>
  <si>
    <t>ALPHA</t>
  </si>
  <si>
    <t>MBOYO</t>
  </si>
  <si>
    <t>NDJONGO</t>
  </si>
  <si>
    <t>NGUNGA</t>
  </si>
  <si>
    <t>SONA</t>
  </si>
  <si>
    <t>LILONGE</t>
  </si>
  <si>
    <t>BOFANA</t>
  </si>
  <si>
    <t>LUPUNGU</t>
  </si>
  <si>
    <t>MATUNGULU</t>
  </si>
  <si>
    <t>OLONGO</t>
  </si>
  <si>
    <t>MAMENGI</t>
  </si>
  <si>
    <t>ISAWA</t>
  </si>
  <si>
    <t>MATONGO</t>
  </si>
  <si>
    <t>BONGEYI</t>
  </si>
  <si>
    <t>KIVUVU</t>
  </si>
  <si>
    <t>DAAH</t>
  </si>
  <si>
    <t>MOKE</t>
  </si>
  <si>
    <t>BIDI</t>
  </si>
  <si>
    <t>LUKAU</t>
  </si>
  <si>
    <t>TUMONA</t>
  </si>
  <si>
    <t>KANDOLO</t>
  </si>
  <si>
    <t>EKOTOPI</t>
  </si>
  <si>
    <t>DJOLA</t>
  </si>
  <si>
    <t>ALENGI</t>
  </si>
  <si>
    <t>AVENE</t>
  </si>
  <si>
    <t>WOSHO</t>
  </si>
  <si>
    <t>BONGI</t>
  </si>
  <si>
    <t>WANGA</t>
  </si>
  <si>
    <t>MWENYI</t>
  </si>
  <si>
    <t>KASONGA</t>
  </si>
  <si>
    <t>BALENGA</t>
  </si>
  <si>
    <t>MAYASI</t>
  </si>
  <si>
    <t>LUSANDU</t>
  </si>
  <si>
    <t>NZAKODIE</t>
  </si>
  <si>
    <t>MARIE LOUISE</t>
  </si>
  <si>
    <t>TSHILANDA</t>
  </si>
  <si>
    <t>ILUMBE</t>
  </si>
  <si>
    <t>BAEMBE</t>
  </si>
  <si>
    <t>KANU</t>
  </si>
  <si>
    <t>OLAMA</t>
  </si>
  <si>
    <t>MBUYI</t>
  </si>
  <si>
    <t>MBOMBO</t>
  </si>
  <si>
    <t>SAYI</t>
  </si>
  <si>
    <t>BUKASA</t>
  </si>
  <si>
    <t>NTOTELE</t>
  </si>
  <si>
    <t>BOWEYA</t>
  </si>
  <si>
    <t>BASELO</t>
  </si>
  <si>
    <t>LUKA</t>
  </si>
  <si>
    <t>WENDO</t>
  </si>
  <si>
    <t>ODIA</t>
  </si>
  <si>
    <t>NZEYI</t>
  </si>
  <si>
    <t>MUZUNGU</t>
  </si>
  <si>
    <t>KIMPELE</t>
  </si>
  <si>
    <t>MANINGA</t>
  </si>
  <si>
    <t>KANDONGO</t>
  </si>
  <si>
    <t>KALASEKI</t>
  </si>
  <si>
    <t>MUBANDA</t>
  </si>
  <si>
    <t>LUBUMA</t>
  </si>
  <si>
    <t>NGAPUTA</t>
  </si>
  <si>
    <t>ATSHOMA</t>
  </si>
  <si>
    <t>WASUAMA</t>
  </si>
  <si>
    <t>BAKEBANGA</t>
  </si>
  <si>
    <t>ELEME</t>
  </si>
  <si>
    <t>MAYALA</t>
  </si>
  <si>
    <t>MBAMBU</t>
  </si>
  <si>
    <t>DARIA</t>
  </si>
  <si>
    <t>ETINA</t>
  </si>
  <si>
    <t>BONJOLIE</t>
  </si>
  <si>
    <t>PEMBE</t>
  </si>
  <si>
    <t>BOLA</t>
  </si>
  <si>
    <t>BURU</t>
  </si>
  <si>
    <t>BENI</t>
  </si>
  <si>
    <t>KALA NGA</t>
  </si>
  <si>
    <t>NDOMBA</t>
  </si>
  <si>
    <t>BITINI</t>
  </si>
  <si>
    <t>MFUM</t>
  </si>
  <si>
    <t>BADAKULU</t>
  </si>
  <si>
    <t>MAYITU</t>
  </si>
  <si>
    <t>MONDUMBE</t>
  </si>
  <si>
    <t>KINIKI</t>
  </si>
  <si>
    <t>POMELA</t>
  </si>
  <si>
    <t>EKOMBA</t>
  </si>
  <si>
    <t>MAHOMBI</t>
  </si>
  <si>
    <t>THIRTSA</t>
  </si>
  <si>
    <t>MONKUMA</t>
  </si>
  <si>
    <t>ZADANDU</t>
  </si>
  <si>
    <t>BILEWU</t>
  </si>
  <si>
    <t>KALUNDA</t>
  </si>
  <si>
    <t>IFOYI</t>
  </si>
  <si>
    <t>BOLANGA RUTH</t>
  </si>
  <si>
    <t>KAPINGA</t>
  </si>
  <si>
    <t>MISENGA</t>
  </si>
  <si>
    <t>MUNGUNZA</t>
  </si>
  <si>
    <t>TEMO</t>
  </si>
  <si>
    <t>NDALA</t>
  </si>
  <si>
    <t>MANDE</t>
  </si>
  <si>
    <t>NGOMO</t>
  </si>
  <si>
    <t>LIYOLO</t>
  </si>
  <si>
    <t>DONVO</t>
  </si>
  <si>
    <t>PEMBELE</t>
  </si>
  <si>
    <t>MASAIDI</t>
  </si>
  <si>
    <t>PENGELE</t>
  </si>
  <si>
    <t>AWOMBI</t>
  </si>
  <si>
    <t>SAMANO</t>
  </si>
  <si>
    <t>s</t>
  </si>
  <si>
    <t xml:space="preserve"> REPUBLIQUE DEMOCRATIQUE DU CONGO
MINISTERE DE L'ENSEIGNEMENT PRIMAIRE, SECONDAIRE ET TECHNIQUE</t>
  </si>
  <si>
    <t xml:space="preserve">BRANCHES
</t>
  </si>
  <si>
    <r>
      <t xml:space="preserve">Religion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</si>
  <si>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Education à la vie </t>
    </r>
    <r>
      <rPr>
        <vertAlign val="superscript"/>
        <sz val="10"/>
        <color theme="1"/>
        <rFont val="Calibri"/>
        <family val="2"/>
        <scheme val="minor"/>
      </rPr>
      <t>(1)</t>
    </r>
  </si>
  <si>
    <t>MAX</t>
  </si>
  <si>
    <t>TOTAL</t>
  </si>
  <si>
    <t>MAX. EXAM</t>
  </si>
  <si>
    <r>
      <t>3</t>
    </r>
    <r>
      <rPr>
        <b/>
        <vertAlign val="superscript"/>
        <sz val="9"/>
        <color theme="1"/>
        <rFont val="Calibri"/>
        <family val="2"/>
        <scheme val="minor"/>
      </rPr>
      <t>è</t>
    </r>
    <r>
      <rPr>
        <b/>
        <sz val="9"/>
        <color theme="1"/>
        <rFont val="Calibri"/>
        <family val="2"/>
        <scheme val="minor"/>
      </rPr>
      <t xml:space="preserve"> P</t>
    </r>
  </si>
  <si>
    <r>
      <t>4</t>
    </r>
    <r>
      <rPr>
        <b/>
        <vertAlign val="superscript"/>
        <sz val="9"/>
        <color theme="1"/>
        <rFont val="Calibri"/>
        <family val="2"/>
        <scheme val="minor"/>
      </rPr>
      <t>è</t>
    </r>
    <r>
      <rPr>
        <b/>
        <sz val="9"/>
        <color theme="1"/>
        <rFont val="Calibri"/>
        <family val="2"/>
        <scheme val="minor"/>
      </rPr>
      <t xml:space="preserve"> P</t>
    </r>
  </si>
  <si>
    <r>
      <t>2</t>
    </r>
    <r>
      <rPr>
        <b/>
        <vertAlign val="superscript"/>
        <sz val="9"/>
        <color theme="1"/>
        <rFont val="Calibri"/>
        <family val="2"/>
        <scheme val="minor"/>
      </rPr>
      <t xml:space="preserve">è </t>
    </r>
    <r>
      <rPr>
        <b/>
        <sz val="9"/>
        <color theme="1"/>
        <rFont val="Calibri"/>
        <family val="2"/>
        <scheme val="minor"/>
      </rPr>
      <t>P</t>
    </r>
  </si>
  <si>
    <r>
      <t>1</t>
    </r>
    <r>
      <rPr>
        <b/>
        <vertAlign val="superscript"/>
        <sz val="9"/>
        <color theme="1"/>
        <rFont val="Calibri"/>
        <family val="2"/>
        <scheme val="minor"/>
      </rPr>
      <t xml:space="preserve">ère </t>
    </r>
    <r>
      <rPr>
        <b/>
        <sz val="9"/>
        <color theme="1"/>
        <rFont val="Calibri"/>
        <family val="2"/>
        <scheme val="minor"/>
      </rPr>
      <t>P</t>
    </r>
  </si>
  <si>
    <t>Sign. 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</si>
</sst>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Bell MT"/>
      <family val="1"/>
    </font>
    <font>
      <sz val="12"/>
      <color theme="1"/>
      <name val="Bookman Old Style"/>
      <family val="1"/>
    </font>
    <font>
      <b/>
      <sz val="16"/>
      <color theme="1"/>
      <name val="Bell MT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7"/>
      <color theme="1"/>
      <name val="Times New Roman"/>
      <family val="1"/>
    </font>
    <font>
      <b/>
      <sz val="24"/>
      <color theme="1"/>
      <name val="Bell MT"/>
      <family val="1"/>
    </font>
    <font>
      <b/>
      <sz val="12"/>
      <color theme="1"/>
      <name val="Bell MT"/>
      <family val="1"/>
    </font>
    <font>
      <sz val="9"/>
      <color theme="1"/>
      <name val="Times New Roman"/>
      <family val="1"/>
    </font>
    <font>
      <sz val="11"/>
      <color theme="0"/>
      <name val="Times New Roman"/>
      <family val="1"/>
    </font>
    <font>
      <sz val="10"/>
      <color theme="0"/>
      <name val="Times New Roman"/>
      <family val="1"/>
    </font>
    <font>
      <sz val="9"/>
      <color theme="0"/>
      <name val="Times New Roman"/>
      <family val="1"/>
    </font>
    <font>
      <sz val="8"/>
      <color theme="0"/>
      <name val="Times New Roman"/>
      <family val="1"/>
    </font>
    <font>
      <sz val="9"/>
      <color theme="1"/>
      <name val="Calibri"/>
      <family val="2"/>
      <scheme val="minor"/>
    </font>
    <font>
      <sz val="12"/>
      <color theme="0"/>
      <name val="Bell MT"/>
      <family val="1"/>
    </font>
    <font>
      <sz val="12"/>
      <color theme="1"/>
      <name val="Bell MT"/>
      <family val="1"/>
    </font>
    <font>
      <sz val="12"/>
      <color theme="1"/>
      <name val="Bell MT"/>
    </font>
    <font>
      <sz val="11"/>
      <color theme="1"/>
      <name val="Bell MT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darkTrellis">
        <bgColor theme="1"/>
      </patternFill>
    </fill>
  </fills>
  <borders count="82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indexed="64"/>
      </top>
      <bottom style="medium">
        <color theme="5"/>
      </bottom>
      <diagonal/>
    </border>
    <border>
      <left/>
      <right/>
      <top style="thin">
        <color indexed="64"/>
      </top>
      <bottom style="medium">
        <color theme="5"/>
      </bottom>
      <diagonal/>
    </border>
    <border>
      <left/>
      <right/>
      <top style="thin">
        <color theme="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/>
      <top/>
      <bottom style="thin">
        <color theme="5"/>
      </bottom>
      <diagonal/>
    </border>
    <border>
      <left/>
      <right style="thin">
        <color indexed="64"/>
      </right>
      <top/>
      <bottom style="thin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0" fontId="9" fillId="0" borderId="5" xfId="0" applyNumberFormat="1" applyFont="1" applyBorder="1" applyAlignment="1" applyProtection="1">
      <alignment horizontal="center"/>
      <protection locked="0"/>
    </xf>
    <xf numFmtId="0" fontId="4" fillId="0" borderId="45" xfId="0" applyFont="1" applyBorder="1" applyAlignment="1"/>
    <xf numFmtId="0" fontId="14" fillId="0" borderId="45" xfId="0" applyFont="1" applyBorder="1" applyAlignment="1">
      <alignment horizontal="center" textRotation="90"/>
    </xf>
    <xf numFmtId="0" fontId="14" fillId="0" borderId="45" xfId="0" applyFont="1" applyBorder="1" applyAlignment="1">
      <alignment textRotation="90"/>
    </xf>
    <xf numFmtId="0" fontId="14" fillId="0" borderId="46" xfId="0" applyFont="1" applyBorder="1" applyAlignment="1">
      <alignment horizontal="center"/>
    </xf>
    <xf numFmtId="11" fontId="2" fillId="0" borderId="0" xfId="0" applyNumberFormat="1" applyFont="1" applyAlignment="1"/>
    <xf numFmtId="0" fontId="14" fillId="0" borderId="4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6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11" fillId="0" borderId="5" xfId="0" applyNumberFormat="1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9" fillId="0" borderId="42" xfId="0" applyNumberFormat="1" applyFont="1" applyBorder="1" applyAlignment="1" applyProtection="1">
      <alignment horizontal="center"/>
      <protection locked="0"/>
    </xf>
    <xf numFmtId="0" fontId="1" fillId="0" borderId="5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3" borderId="5" xfId="0" applyFill="1" applyBorder="1" applyProtection="1"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0" fillId="0" borderId="5" xfId="0" applyFill="1" applyBorder="1" applyAlignment="1" applyProtection="1">
      <alignment horizontal="center"/>
      <protection locked="0"/>
    </xf>
    <xf numFmtId="0" fontId="0" fillId="0" borderId="5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6" xfId="0" applyFill="1" applyBorder="1" applyProtection="1"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0" fillId="3" borderId="24" xfId="0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3" borderId="25" xfId="0" applyFill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0" fontId="0" fillId="3" borderId="0" xfId="0" applyNumberFormat="1" applyFont="1" applyFill="1" applyBorder="1" applyAlignment="1" applyProtection="1">
      <alignment horizontal="center"/>
      <protection locked="0"/>
    </xf>
    <xf numFmtId="0" fontId="0" fillId="3" borderId="5" xfId="0" applyNumberFormat="1" applyFont="1" applyFill="1" applyBorder="1" applyAlignment="1" applyProtection="1">
      <alignment horizontal="center"/>
      <protection locked="0"/>
    </xf>
    <xf numFmtId="0" fontId="0" fillId="3" borderId="2" xfId="0" applyNumberFormat="1" applyFill="1" applyBorder="1" applyAlignment="1" applyProtection="1">
      <alignment horizontal="center"/>
      <protection locked="0"/>
    </xf>
    <xf numFmtId="0" fontId="0" fillId="0" borderId="5" xfId="0" applyNumberFormat="1" applyBorder="1" applyAlignment="1" applyProtection="1">
      <alignment horizontal="center"/>
      <protection locked="0"/>
    </xf>
    <xf numFmtId="0" fontId="0" fillId="3" borderId="5" xfId="0" applyNumberFormat="1" applyFill="1" applyBorder="1" applyAlignment="1" applyProtection="1">
      <alignment horizontal="center"/>
      <protection locked="0"/>
    </xf>
    <xf numFmtId="0" fontId="0" fillId="3" borderId="36" xfId="0" applyFill="1" applyBorder="1" applyAlignment="1" applyProtection="1">
      <alignment horizontal="center"/>
      <protection locked="0"/>
    </xf>
    <xf numFmtId="0" fontId="0" fillId="0" borderId="5" xfId="0" applyNumberFormat="1" applyBorder="1" applyProtection="1">
      <protection locked="0"/>
    </xf>
    <xf numFmtId="0" fontId="0" fillId="3" borderId="5" xfId="0" applyNumberFormat="1" applyFill="1" applyBorder="1" applyProtection="1">
      <protection locked="0"/>
    </xf>
    <xf numFmtId="0" fontId="0" fillId="3" borderId="5" xfId="0" applyNumberFormat="1" applyFont="1" applyFill="1" applyBorder="1" applyProtection="1">
      <protection locked="0"/>
    </xf>
    <xf numFmtId="0" fontId="0" fillId="3" borderId="37" xfId="0" applyFill="1" applyBorder="1" applyProtection="1">
      <protection locked="0"/>
    </xf>
    <xf numFmtId="0" fontId="0" fillId="3" borderId="5" xfId="0" applyFont="1" applyFill="1" applyBorder="1" applyProtection="1">
      <protection locked="0"/>
    </xf>
    <xf numFmtId="0" fontId="0" fillId="3" borderId="25" xfId="0" applyFill="1" applyBorder="1" applyProtection="1">
      <protection locked="0"/>
    </xf>
    <xf numFmtId="0" fontId="0" fillId="0" borderId="33" xfId="0" applyBorder="1" applyProtection="1">
      <protection locked="0"/>
    </xf>
    <xf numFmtId="0" fontId="9" fillId="0" borderId="50" xfId="0" applyNumberFormat="1" applyFont="1" applyBorder="1" applyAlignment="1" applyProtection="1">
      <alignment horizontal="center"/>
      <protection hidden="1"/>
    </xf>
    <xf numFmtId="0" fontId="9" fillId="0" borderId="33" xfId="0" applyNumberFormat="1" applyFont="1" applyBorder="1" applyAlignment="1" applyProtection="1">
      <alignment horizontal="center"/>
      <protection hidden="1"/>
    </xf>
    <xf numFmtId="0" fontId="9" fillId="0" borderId="6" xfId="0" applyNumberFormat="1" applyFont="1" applyBorder="1" applyAlignment="1" applyProtection="1">
      <alignment horizontal="center"/>
      <protection hidden="1"/>
    </xf>
    <xf numFmtId="0" fontId="11" fillId="0" borderId="5" xfId="0" applyNumberFormat="1" applyFont="1" applyBorder="1" applyAlignment="1" applyProtection="1">
      <alignment horizontal="center"/>
      <protection hidden="1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11" fillId="0" borderId="6" xfId="0" applyNumberFormat="1" applyFont="1" applyBorder="1" applyAlignment="1" applyProtection="1">
      <alignment horizontal="center"/>
      <protection locked="0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11" fillId="0" borderId="53" xfId="0" applyNumberFormat="1" applyFont="1" applyBorder="1" applyAlignment="1" applyProtection="1">
      <alignment horizontal="center"/>
      <protection locked="0"/>
    </xf>
    <xf numFmtId="0" fontId="9" fillId="0" borderId="53" xfId="0" applyNumberFormat="1" applyFont="1" applyBorder="1" applyAlignment="1" applyProtection="1">
      <alignment horizontal="center"/>
      <protection hidden="1"/>
    </xf>
    <xf numFmtId="0" fontId="9" fillId="0" borderId="6" xfId="0" applyNumberFormat="1" applyFont="1" applyBorder="1" applyAlignment="1" applyProtection="1">
      <alignment horizontal="center"/>
      <protection locked="0"/>
    </xf>
    <xf numFmtId="0" fontId="9" fillId="0" borderId="54" xfId="0" applyNumberFormat="1" applyFont="1" applyBorder="1" applyAlignment="1" applyProtection="1">
      <alignment horizontal="center"/>
      <protection hidden="1"/>
    </xf>
    <xf numFmtId="0" fontId="9" fillId="0" borderId="55" xfId="0" applyNumberFormat="1" applyFont="1" applyBorder="1" applyAlignment="1" applyProtection="1">
      <alignment horizontal="center"/>
      <protection hidden="1"/>
    </xf>
    <xf numFmtId="0" fontId="16" fillId="0" borderId="44" xfId="0" applyNumberFormat="1" applyFont="1" applyBorder="1" applyAlignment="1" applyProtection="1">
      <alignment horizontal="center"/>
      <protection hidden="1"/>
    </xf>
    <xf numFmtId="0" fontId="16" fillId="0" borderId="6" xfId="0" applyNumberFormat="1" applyFont="1" applyBorder="1" applyAlignment="1" applyProtection="1">
      <alignment horizontal="center"/>
      <protection hidden="1"/>
    </xf>
    <xf numFmtId="0" fontId="16" fillId="0" borderId="5" xfId="0" applyNumberFormat="1" applyFont="1" applyBorder="1" applyAlignment="1" applyProtection="1">
      <alignment horizontal="center"/>
      <protection hidden="1"/>
    </xf>
    <xf numFmtId="0" fontId="16" fillId="0" borderId="53" xfId="0" applyNumberFormat="1" applyFont="1" applyBorder="1" applyAlignment="1" applyProtection="1">
      <alignment horizontal="center"/>
      <protection hidden="1"/>
    </xf>
    <xf numFmtId="0" fontId="16" fillId="0" borderId="50" xfId="0" applyNumberFormat="1" applyFont="1" applyBorder="1" applyAlignment="1" applyProtection="1">
      <alignment horizontal="center"/>
      <protection hidden="1"/>
    </xf>
    <xf numFmtId="0" fontId="16" fillId="0" borderId="42" xfId="0" applyNumberFormat="1" applyFont="1" applyBorder="1" applyAlignment="1" applyProtection="1">
      <alignment horizontal="center"/>
      <protection hidden="1"/>
    </xf>
    <xf numFmtId="0" fontId="16" fillId="0" borderId="4" xfId="0" applyNumberFormat="1" applyFont="1" applyBorder="1" applyAlignment="1" applyProtection="1">
      <alignment horizontal="center"/>
      <protection hidden="1"/>
    </xf>
    <xf numFmtId="0" fontId="16" fillId="0" borderId="33" xfId="0" applyNumberFormat="1" applyFont="1" applyBorder="1" applyAlignment="1" applyProtection="1">
      <alignment horizontal="center"/>
      <protection hidden="1"/>
    </xf>
    <xf numFmtId="0" fontId="16" fillId="0" borderId="43" xfId="0" applyNumberFormat="1" applyFont="1" applyBorder="1" applyAlignment="1" applyProtection="1">
      <alignment horizontal="center"/>
      <protection hidden="1"/>
    </xf>
    <xf numFmtId="0" fontId="16" fillId="0" borderId="56" xfId="0" applyNumberFormat="1" applyFont="1" applyBorder="1" applyAlignment="1" applyProtection="1">
      <alignment horizontal="center"/>
      <protection hidden="1"/>
    </xf>
    <xf numFmtId="0" fontId="17" fillId="0" borderId="5" xfId="0" applyNumberFormat="1" applyFont="1" applyBorder="1" applyAlignment="1" applyProtection="1">
      <alignment horizontal="center"/>
      <protection hidden="1"/>
    </xf>
    <xf numFmtId="0" fontId="18" fillId="0" borderId="5" xfId="0" applyNumberFormat="1" applyFont="1" applyBorder="1" applyAlignment="1" applyProtection="1">
      <alignment horizontal="center"/>
      <protection hidden="1"/>
    </xf>
    <xf numFmtId="0" fontId="16" fillId="0" borderId="4" xfId="0" applyNumberFormat="1" applyFont="1" applyBorder="1" applyAlignment="1" applyProtection="1">
      <alignment horizontal="center"/>
      <protection locked="0"/>
    </xf>
    <xf numFmtId="0" fontId="16" fillId="0" borderId="55" xfId="0" applyNumberFormat="1" applyFont="1" applyBorder="1" applyAlignment="1" applyProtection="1">
      <alignment horizontal="center"/>
      <protection hidden="1"/>
    </xf>
    <xf numFmtId="0" fontId="16" fillId="0" borderId="54" xfId="0" applyNumberFormat="1" applyFont="1" applyBorder="1" applyAlignment="1" applyProtection="1">
      <alignment horizontal="center"/>
      <protection hidden="1"/>
    </xf>
    <xf numFmtId="0" fontId="19" fillId="0" borderId="5" xfId="0" applyNumberFormat="1" applyFont="1" applyBorder="1" applyAlignment="1" applyProtection="1">
      <alignment horizontal="center"/>
      <protection hidden="1"/>
    </xf>
    <xf numFmtId="0" fontId="17" fillId="0" borderId="50" xfId="0" applyNumberFormat="1" applyFont="1" applyBorder="1" applyAlignment="1" applyProtection="1">
      <alignment horizontal="center"/>
      <protection hidden="1"/>
    </xf>
    <xf numFmtId="0" fontId="15" fillId="0" borderId="50" xfId="0" applyNumberFormat="1" applyFont="1" applyBorder="1" applyAlignment="1" applyProtection="1">
      <alignment horizontal="center"/>
      <protection hidden="1"/>
    </xf>
    <xf numFmtId="0" fontId="20" fillId="0" borderId="6" xfId="0" applyNumberFormat="1" applyFont="1" applyBorder="1" applyAlignment="1" applyProtection="1">
      <alignment horizontal="center"/>
      <protection hidden="1"/>
    </xf>
    <xf numFmtId="0" fontId="21" fillId="0" borderId="47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2" fillId="0" borderId="48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4" fillId="0" borderId="0" xfId="0" applyFont="1" applyAlignment="1"/>
    <xf numFmtId="0" fontId="24" fillId="0" borderId="0" xfId="0" applyFont="1"/>
    <xf numFmtId="0" fontId="6" fillId="0" borderId="5" xfId="0" applyNumberFormat="1" applyFont="1" applyBorder="1" applyAlignment="1" applyProtection="1">
      <alignment horizontal="center"/>
      <protection locked="0"/>
    </xf>
    <xf numFmtId="0" fontId="2" fillId="0" borderId="47" xfId="0" applyFont="1" applyBorder="1"/>
    <xf numFmtId="0" fontId="2" fillId="0" borderId="0" xfId="0" applyFont="1" applyBorder="1" applyAlignment="1">
      <alignment horizontal="center"/>
    </xf>
    <xf numFmtId="0" fontId="2" fillId="0" borderId="48" xfId="0" applyFont="1" applyBorder="1"/>
    <xf numFmtId="0" fontId="9" fillId="0" borderId="6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3" fillId="0" borderId="13" xfId="0" applyFont="1" applyBorder="1" applyAlignment="1">
      <alignment horizontal="center"/>
    </xf>
    <xf numFmtId="0" fontId="20" fillId="3" borderId="0" xfId="0" applyFont="1" applyFill="1" applyBorder="1" applyAlignment="1" applyProtection="1">
      <alignment horizontal="center" vertical="center"/>
      <protection locked="0"/>
    </xf>
    <xf numFmtId="0" fontId="7" fillId="0" borderId="12" xfId="0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31" xfId="0" applyNumberFormat="1" applyFont="1" applyBorder="1" applyAlignment="1" applyProtection="1">
      <alignment horizontal="left" vertical="center"/>
      <protection locked="0"/>
    </xf>
    <xf numFmtId="0" fontId="7" fillId="0" borderId="30" xfId="0" applyNumberFormat="1" applyFont="1" applyBorder="1" applyAlignment="1" applyProtection="1">
      <alignment horizontal="left" vertical="center"/>
      <protection locked="0"/>
    </xf>
    <xf numFmtId="0" fontId="20" fillId="0" borderId="45" xfId="0" applyFont="1" applyBorder="1" applyAlignment="1" applyProtection="1">
      <alignment horizontal="center" vertical="center"/>
      <protection locked="0"/>
    </xf>
    <xf numFmtId="0" fontId="26" fillId="0" borderId="62" xfId="0" applyFont="1" applyBorder="1" applyAlignment="1" applyProtection="1">
      <alignment horizontal="center" vertical="center"/>
      <protection locked="0"/>
    </xf>
    <xf numFmtId="0" fontId="26" fillId="0" borderId="66" xfId="0" applyFont="1" applyBorder="1" applyAlignment="1" applyProtection="1">
      <alignment horizontal="center" vertical="center"/>
      <protection locked="0"/>
    </xf>
    <xf numFmtId="0" fontId="11" fillId="0" borderId="7" xfId="0" applyNumberFormat="1" applyFont="1" applyBorder="1" applyAlignment="1" applyProtection="1">
      <alignment horizontal="center"/>
      <protection locked="0"/>
    </xf>
    <xf numFmtId="0" fontId="11" fillId="0" borderId="3" xfId="0" applyNumberFormat="1" applyFont="1" applyBorder="1" applyAlignment="1" applyProtection="1">
      <alignment horizontal="center"/>
      <protection locked="0"/>
    </xf>
    <xf numFmtId="0" fontId="11" fillId="0" borderId="10" xfId="0" applyNumberFormat="1" applyFont="1" applyBorder="1" applyAlignment="1" applyProtection="1">
      <alignment horizontal="center"/>
      <protection locked="0"/>
    </xf>
    <xf numFmtId="0" fontId="9" fillId="0" borderId="68" xfId="0" applyNumberFormat="1" applyFont="1" applyBorder="1" applyAlignment="1" applyProtection="1">
      <alignment horizontal="center"/>
      <protection hidden="1"/>
    </xf>
    <xf numFmtId="0" fontId="9" fillId="0" borderId="69" xfId="0" applyNumberFormat="1" applyFont="1" applyBorder="1" applyAlignment="1" applyProtection="1">
      <alignment horizontal="center"/>
      <protection hidden="1"/>
    </xf>
    <xf numFmtId="0" fontId="9" fillId="0" borderId="70" xfId="0" applyNumberFormat="1" applyFont="1" applyBorder="1" applyAlignment="1" applyProtection="1">
      <alignment horizontal="center"/>
      <protection hidden="1"/>
    </xf>
    <xf numFmtId="0" fontId="9" fillId="0" borderId="71" xfId="0" applyNumberFormat="1" applyFont="1" applyBorder="1" applyAlignment="1" applyProtection="1">
      <alignment horizontal="center"/>
      <protection hidden="1"/>
    </xf>
    <xf numFmtId="0" fontId="9" fillId="0" borderId="72" xfId="0" applyNumberFormat="1" applyFont="1" applyBorder="1" applyAlignment="1" applyProtection="1">
      <alignment horizontal="center"/>
      <protection hidden="1"/>
    </xf>
    <xf numFmtId="0" fontId="9" fillId="0" borderId="73" xfId="0" applyNumberFormat="1" applyFont="1" applyBorder="1" applyAlignment="1" applyProtection="1">
      <alignment horizontal="center"/>
      <protection hidden="1"/>
    </xf>
    <xf numFmtId="0" fontId="9" fillId="0" borderId="74" xfId="0" applyNumberFormat="1" applyFont="1" applyBorder="1" applyAlignment="1" applyProtection="1">
      <alignment horizontal="center"/>
      <protection hidden="1"/>
    </xf>
    <xf numFmtId="0" fontId="9" fillId="0" borderId="75" xfId="0" applyNumberFormat="1" applyFont="1" applyBorder="1" applyAlignment="1" applyProtection="1">
      <alignment horizontal="center"/>
      <protection hidden="1"/>
    </xf>
    <xf numFmtId="0" fontId="0" fillId="0" borderId="10" xfId="0" applyNumberFormat="1" applyFont="1" applyBorder="1" applyAlignment="1" applyProtection="1">
      <alignment horizontal="center"/>
      <protection locked="0"/>
    </xf>
    <xf numFmtId="0" fontId="0" fillId="0" borderId="10" xfId="0" applyNumberFormat="1" applyBorder="1" applyAlignment="1" applyProtection="1">
      <alignment horizontal="center"/>
      <protection locked="0"/>
    </xf>
    <xf numFmtId="0" fontId="9" fillId="0" borderId="74" xfId="0" applyNumberFormat="1" applyFont="1" applyBorder="1" applyAlignment="1" applyProtection="1">
      <alignment horizontal="center"/>
      <protection locked="0"/>
    </xf>
    <xf numFmtId="0" fontId="15" fillId="0" borderId="74" xfId="0" applyNumberFormat="1" applyFont="1" applyBorder="1" applyAlignment="1" applyProtection="1">
      <alignment horizontal="center"/>
      <protection hidden="1"/>
    </xf>
    <xf numFmtId="0" fontId="0" fillId="0" borderId="74" xfId="0" applyNumberFormat="1" applyBorder="1" applyAlignment="1" applyProtection="1">
      <alignment horizont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20" fillId="0" borderId="79" xfId="0" applyFont="1" applyBorder="1" applyAlignment="1" applyProtection="1">
      <alignment horizontal="center" vertical="center"/>
      <protection locked="0"/>
    </xf>
    <xf numFmtId="0" fontId="16" fillId="0" borderId="80" xfId="0" applyNumberFormat="1" applyFont="1" applyBorder="1" applyAlignment="1" applyProtection="1">
      <alignment horizontal="center"/>
      <protection hidden="1"/>
    </xf>
    <xf numFmtId="0" fontId="16" fillId="0" borderId="81" xfId="0" applyNumberFormat="1" applyFont="1" applyBorder="1" applyAlignment="1" applyProtection="1">
      <alignment horizontal="center"/>
      <protection hidden="1"/>
    </xf>
    <xf numFmtId="0" fontId="5" fillId="0" borderId="34" xfId="0" applyNumberFormat="1" applyFont="1" applyBorder="1" applyAlignment="1" applyProtection="1">
      <alignment horizontal="left" vertical="center"/>
      <protection locked="0"/>
    </xf>
    <xf numFmtId="0" fontId="5" fillId="0" borderId="5" xfId="0" applyNumberFormat="1" applyFont="1" applyBorder="1" applyAlignment="1" applyProtection="1">
      <alignment horizontal="left" vertical="center"/>
      <protection locked="0"/>
    </xf>
    <xf numFmtId="0" fontId="7" fillId="0" borderId="34" xfId="0" applyNumberFormat="1" applyFont="1" applyBorder="1" applyAlignment="1" applyProtection="1">
      <alignment horizontal="left" vertical="center"/>
      <protection locked="0"/>
    </xf>
    <xf numFmtId="0" fontId="7" fillId="0" borderId="5" xfId="0" applyNumberFormat="1" applyFont="1" applyBorder="1" applyAlignment="1" applyProtection="1">
      <alignment horizontal="left" vertical="center"/>
      <protection locked="0"/>
    </xf>
    <xf numFmtId="0" fontId="5" fillId="0" borderId="52" xfId="0" applyNumberFormat="1" applyFont="1" applyBorder="1" applyAlignment="1" applyProtection="1">
      <alignment horizontal="left" vertical="center"/>
      <protection locked="0"/>
    </xf>
    <xf numFmtId="0" fontId="5" fillId="0" borderId="53" xfId="0" applyNumberFormat="1" applyFont="1" applyBorder="1" applyAlignment="1" applyProtection="1">
      <alignment horizontal="left" vertical="center"/>
      <protection locked="0"/>
    </xf>
    <xf numFmtId="0" fontId="11" fillId="2" borderId="26" xfId="0" applyNumberFormat="1" applyFont="1" applyFill="1" applyBorder="1" applyAlignment="1" applyProtection="1">
      <alignment horizontal="center"/>
      <protection locked="0"/>
    </xf>
    <xf numFmtId="0" fontId="10" fillId="2" borderId="27" xfId="0" applyNumberFormat="1" applyFont="1" applyFill="1" applyBorder="1" applyAlignment="1" applyProtection="1">
      <alignment horizontal="center"/>
      <protection locked="0"/>
    </xf>
    <xf numFmtId="0" fontId="10" fillId="2" borderId="28" xfId="0" applyNumberFormat="1" applyFont="1" applyFill="1" applyBorder="1" applyAlignment="1" applyProtection="1">
      <alignment horizontal="center"/>
      <protection locked="0"/>
    </xf>
    <xf numFmtId="0" fontId="7" fillId="0" borderId="51" xfId="0" applyNumberFormat="1" applyFont="1" applyBorder="1" applyAlignment="1" applyProtection="1">
      <alignment horizontal="left" vertical="center"/>
      <protection locked="0"/>
    </xf>
    <xf numFmtId="0" fontId="7" fillId="0" borderId="6" xfId="0" applyNumberFormat="1" applyFont="1" applyBorder="1" applyAlignment="1" applyProtection="1">
      <alignment horizontal="left" vertical="center"/>
      <protection locked="0"/>
    </xf>
    <xf numFmtId="0" fontId="7" fillId="0" borderId="34" xfId="0" applyNumberFormat="1" applyFont="1" applyBorder="1" applyAlignment="1" applyProtection="1">
      <alignment horizontal="left"/>
      <protection locked="0"/>
    </xf>
    <xf numFmtId="0" fontId="7" fillId="0" borderId="5" xfId="0" applyNumberFormat="1" applyFont="1" applyBorder="1" applyAlignment="1" applyProtection="1">
      <alignment horizontal="left"/>
      <protection locked="0"/>
    </xf>
    <xf numFmtId="0" fontId="7" fillId="0" borderId="51" xfId="0" applyNumberFormat="1" applyFont="1" applyBorder="1" applyAlignment="1" applyProtection="1">
      <alignment horizontal="left"/>
      <protection locked="0"/>
    </xf>
    <xf numFmtId="0" fontId="7" fillId="0" borderId="6" xfId="0" applyNumberFormat="1" applyFont="1" applyBorder="1" applyAlignment="1" applyProtection="1">
      <alignment horizontal="left"/>
      <protection locked="0"/>
    </xf>
    <xf numFmtId="0" fontId="7" fillId="0" borderId="34" xfId="0" applyNumberFormat="1" applyFont="1" applyBorder="1" applyAlignment="1" applyProtection="1">
      <alignment horizontal="left" wrapText="1"/>
      <protection locked="0"/>
    </xf>
    <xf numFmtId="0" fontId="7" fillId="0" borderId="5" xfId="0" applyNumberFormat="1" applyFont="1" applyBorder="1" applyAlignment="1" applyProtection="1">
      <alignment horizontal="left" wrapText="1"/>
      <protection locked="0"/>
    </xf>
    <xf numFmtId="0" fontId="7" fillId="0" borderId="52" xfId="0" applyNumberFormat="1" applyFont="1" applyBorder="1" applyAlignment="1" applyProtection="1">
      <alignment horizontal="left" vertical="center"/>
      <protection locked="0"/>
    </xf>
    <xf numFmtId="0" fontId="7" fillId="0" borderId="53" xfId="0" applyNumberFormat="1" applyFont="1" applyBorder="1" applyAlignment="1" applyProtection="1">
      <alignment horizontal="left" vertical="center"/>
      <protection locked="0"/>
    </xf>
    <xf numFmtId="0" fontId="5" fillId="0" borderId="6" xfId="0" applyNumberFormat="1" applyFont="1" applyBorder="1" applyAlignment="1" applyProtection="1">
      <alignment horizontal="left" vertical="center"/>
      <protection locked="0"/>
    </xf>
    <xf numFmtId="0" fontId="5" fillId="0" borderId="52" xfId="0" applyNumberFormat="1" applyFont="1" applyBorder="1" applyAlignment="1" applyProtection="1">
      <alignment horizontal="left"/>
      <protection locked="0"/>
    </xf>
    <xf numFmtId="0" fontId="5" fillId="0" borderId="53" xfId="0" applyNumberFormat="1" applyFont="1" applyBorder="1" applyAlignment="1" applyProtection="1">
      <alignment horizontal="left"/>
      <protection locked="0"/>
    </xf>
    <xf numFmtId="0" fontId="0" fillId="0" borderId="8" xfId="0" applyFill="1" applyBorder="1" applyAlignment="1" applyProtection="1">
      <alignment horizontal="center"/>
      <protection locked="0"/>
    </xf>
    <xf numFmtId="0" fontId="0" fillId="0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0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7" fillId="2" borderId="27" xfId="0" applyNumberFormat="1" applyFont="1" applyFill="1" applyBorder="1" applyAlignment="1" applyProtection="1">
      <alignment horizontal="center"/>
      <protection locked="0"/>
    </xf>
    <xf numFmtId="0" fontId="7" fillId="2" borderId="28" xfId="0" applyNumberFormat="1" applyFont="1" applyFill="1" applyBorder="1" applyAlignment="1" applyProtection="1">
      <alignment horizontal="center"/>
      <protection locked="0"/>
    </xf>
    <xf numFmtId="0" fontId="7" fillId="0" borderId="31" xfId="0" applyNumberFormat="1" applyFont="1" applyBorder="1" applyAlignment="1" applyProtection="1">
      <alignment horizontal="left" vertical="center"/>
      <protection locked="0"/>
    </xf>
    <xf numFmtId="0" fontId="7" fillId="0" borderId="9" xfId="0" applyNumberFormat="1" applyFont="1" applyBorder="1" applyAlignment="1" applyProtection="1">
      <alignment horizontal="left" vertical="center"/>
      <protection locked="0"/>
    </xf>
    <xf numFmtId="0" fontId="26" fillId="0" borderId="45" xfId="0" applyFont="1" applyBorder="1" applyAlignment="1" applyProtection="1">
      <alignment horizontal="center" vertical="center" wrapText="1"/>
      <protection locked="0"/>
    </xf>
    <xf numFmtId="0" fontId="26" fillId="0" borderId="45" xfId="0" applyFont="1" applyBorder="1" applyAlignment="1" applyProtection="1">
      <alignment horizontal="center" vertical="center"/>
      <protection locked="0"/>
    </xf>
    <xf numFmtId="0" fontId="26" fillId="0" borderId="62" xfId="0" applyFont="1" applyBorder="1" applyAlignment="1" applyProtection="1">
      <alignment horizontal="center" vertical="center"/>
      <protection locked="0"/>
    </xf>
    <xf numFmtId="0" fontId="26" fillId="0" borderId="65" xfId="0" applyFont="1" applyBorder="1" applyAlignment="1" applyProtection="1">
      <alignment horizontal="center" vertical="center"/>
      <protection locked="0"/>
    </xf>
    <xf numFmtId="0" fontId="26" fillId="0" borderId="66" xfId="0" applyFont="1" applyBorder="1" applyAlignment="1" applyProtection="1">
      <alignment horizontal="center" vertical="center"/>
      <protection locked="0"/>
    </xf>
    <xf numFmtId="0" fontId="26" fillId="0" borderId="67" xfId="0" applyFont="1" applyBorder="1" applyAlignment="1" applyProtection="1">
      <alignment horizontal="center" vertical="center"/>
      <protection locked="0"/>
    </xf>
    <xf numFmtId="0" fontId="25" fillId="0" borderId="45" xfId="0" applyFont="1" applyBorder="1" applyAlignment="1" applyProtection="1">
      <alignment horizontal="center" vertical="center" wrapText="1"/>
      <protection locked="0"/>
    </xf>
    <xf numFmtId="0" fontId="25" fillId="0" borderId="45" xfId="0" applyFont="1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left" wrapText="1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26" fillId="0" borderId="77" xfId="0" applyFont="1" applyBorder="1" applyAlignment="1" applyProtection="1">
      <alignment horizontal="center" vertical="center" wrapText="1"/>
      <protection locked="0"/>
    </xf>
    <xf numFmtId="0" fontId="26" fillId="0" borderId="14" xfId="0" applyFont="1" applyBorder="1" applyAlignment="1" applyProtection="1">
      <alignment horizontal="center" vertical="center"/>
      <protection locked="0"/>
    </xf>
    <xf numFmtId="0" fontId="26" fillId="0" borderId="78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5" fillId="0" borderId="34" xfId="0" applyFont="1" applyFill="1" applyBorder="1" applyAlignment="1" applyProtection="1">
      <alignment horizontal="left" vertical="center"/>
      <protection locked="0"/>
    </xf>
    <xf numFmtId="0" fontId="5" fillId="0" borderId="5" xfId="0" applyFont="1" applyFill="1" applyBorder="1" applyAlignment="1" applyProtection="1">
      <alignment horizontal="left" vertical="center"/>
      <protection locked="0"/>
    </xf>
    <xf numFmtId="0" fontId="5" fillId="0" borderId="35" xfId="0" applyFont="1" applyFill="1" applyBorder="1" applyAlignment="1" applyProtection="1">
      <alignment horizontal="left" vertical="center"/>
      <protection locked="0"/>
    </xf>
    <xf numFmtId="0" fontId="5" fillId="0" borderId="33" xfId="0" applyFont="1" applyFill="1" applyBorder="1" applyAlignment="1" applyProtection="1">
      <alignment horizontal="left" vertic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11" fillId="2" borderId="22" xfId="0" applyFont="1" applyFill="1" applyBorder="1" applyAlignment="1" applyProtection="1">
      <alignment horizontal="center"/>
      <protection locked="0"/>
    </xf>
    <xf numFmtId="0" fontId="7" fillId="2" borderId="23" xfId="0" applyFont="1" applyFill="1" applyBorder="1" applyAlignment="1" applyProtection="1">
      <alignment horizontal="center"/>
      <protection locked="0"/>
    </xf>
    <xf numFmtId="0" fontId="7" fillId="2" borderId="20" xfId="0" applyFont="1" applyFill="1" applyBorder="1" applyAlignment="1" applyProtection="1">
      <alignment horizontal="center"/>
      <protection locked="0"/>
    </xf>
    <xf numFmtId="0" fontId="11" fillId="2" borderId="63" xfId="0" applyFont="1" applyFill="1" applyBorder="1" applyAlignment="1" applyProtection="1">
      <alignment horizontal="center"/>
      <protection locked="0"/>
    </xf>
    <xf numFmtId="0" fontId="7" fillId="2" borderId="29" xfId="0" applyFont="1" applyFill="1" applyBorder="1" applyAlignment="1" applyProtection="1">
      <alignment horizontal="center"/>
      <protection locked="0"/>
    </xf>
    <xf numFmtId="0" fontId="7" fillId="2" borderId="41" xfId="0" applyFont="1" applyFill="1" applyBorder="1" applyAlignment="1" applyProtection="1">
      <alignment horizontal="center"/>
      <protection locked="0"/>
    </xf>
    <xf numFmtId="0" fontId="28" fillId="0" borderId="21" xfId="0" applyFont="1" applyBorder="1" applyAlignment="1" applyProtection="1">
      <alignment horizont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28" fillId="0" borderId="21" xfId="0" applyFont="1" applyBorder="1" applyAlignment="1" applyProtection="1">
      <alignment horizontal="center"/>
      <protection locked="0"/>
    </xf>
    <xf numFmtId="0" fontId="28" fillId="0" borderId="59" xfId="0" applyFont="1" applyBorder="1" applyAlignment="1" applyProtection="1">
      <alignment horizontal="center"/>
      <protection locked="0"/>
    </xf>
    <xf numFmtId="0" fontId="28" fillId="0" borderId="60" xfId="0" applyFont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5" fillId="0" borderId="61" xfId="0" applyNumberFormat="1" applyFont="1" applyBorder="1" applyAlignment="1" applyProtection="1">
      <alignment horizontal="left" vertical="center"/>
      <protection locked="0"/>
    </xf>
    <xf numFmtId="0" fontId="5" fillId="0" borderId="39" xfId="0" applyNumberFormat="1" applyFont="1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64" xfId="0" applyBorder="1" applyAlignment="1" applyProtection="1">
      <alignment horizontal="center"/>
      <protection locked="0"/>
    </xf>
    <xf numFmtId="0" fontId="0" fillId="0" borderId="76" xfId="0" applyBorder="1" applyAlignment="1" applyProtection="1">
      <alignment horizontal="center"/>
      <protection locked="0"/>
    </xf>
    <xf numFmtId="0" fontId="26" fillId="0" borderId="19" xfId="0" applyFont="1" applyBorder="1" applyAlignment="1" applyProtection="1">
      <alignment horizontal="center" vertical="center"/>
      <protection locked="0"/>
    </xf>
    <xf numFmtId="0" fontId="26" fillId="0" borderId="1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</cellXfs>
  <cellStyles count="1">
    <cellStyle name="Normal" xfId="0" builtinId="0"/>
  </cellStyles>
  <dxfs count="282"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Bell MT"/>
        <scheme val="none"/>
      </font>
    </dxf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color theme="1"/>
      </font>
    </dxf>
    <dxf>
      <font>
        <sz val="12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sz val="12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border outline="0">
        <left style="thin">
          <color rgb="FFED7D31"/>
        </left>
        <right style="thin">
          <color rgb="FFED7D31"/>
        </right>
        <bottom style="thin">
          <color rgb="FFED7D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color theme="1"/>
      </font>
    </dxf>
    <dxf>
      <font>
        <sz val="12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font>
        <sz val="12"/>
        <name val="Bookman Old Style"/>
        <family val="1"/>
        <scheme val="none"/>
      </font>
      <alignment horizontal="left" vertical="bottom" textRotation="0" wrapText="0" indent="0" justifyLastLine="0" shrinkToFit="0" readingOrder="0"/>
    </dxf>
    <dxf>
      <border outline="0">
        <left style="thin">
          <color rgb="FFED7D31"/>
        </left>
        <right style="thin">
          <color rgb="FFED7D31"/>
        </right>
        <bottom style="thin">
          <color rgb="FFED7D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color theme="1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left style="thin">
          <color rgb="FFED7D31"/>
        </left>
        <right style="thin">
          <color rgb="FFED7D31"/>
        </right>
        <bottom style="thin">
          <color rgb="FFED7D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medium">
          <color theme="5"/>
        </bottom>
      </border>
    </dxf>
    <dxf>
      <font>
        <b val="0"/>
        <color theme="1"/>
      </font>
    </dxf>
    <dxf>
      <font>
        <b val="0"/>
        <color theme="1"/>
      </font>
    </dxf>
    <dxf>
      <font>
        <b val="0"/>
        <color theme="1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left style="thin">
          <color rgb="FFED7D31"/>
        </left>
        <right style="thin">
          <color rgb="FFED7D31"/>
        </right>
        <bottom style="thin">
          <color rgb="FFED7D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scheme val="none"/>
      </font>
      <alignment horizontal="center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  <dxf>
      <font>
        <color rgb="FF9C0006"/>
      </font>
    </dxf>
    <dxf>
      <fill>
        <patternFill patternType="lightHorizontal">
          <fgColor rgb="FFFF0000"/>
        </patternFill>
      </fill>
    </dxf>
    <dxf>
      <fill>
        <patternFill patternType="lightHorizontal">
          <fgColor auto="1"/>
          <bgColor rgb="FFFF0000"/>
        </patternFill>
      </fill>
    </dxf>
    <dxf>
      <font>
        <color rgb="FF9C0006"/>
      </font>
    </dxf>
  </dxfs>
  <tableStyles count="1" defaultTableStyle="TableStyleMedium2" defaultPivotStyle="PivotStyleLight16">
    <tableStyle name="Style de tableau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209548</xdr:colOff>
      <xdr:row>25</xdr:row>
      <xdr:rowOff>0</xdr:rowOff>
    </xdr:from>
    <xdr:to>
      <xdr:col>28</xdr:col>
      <xdr:colOff>457196</xdr:colOff>
      <xdr:row>25</xdr:row>
      <xdr:rowOff>133349</xdr:rowOff>
    </xdr:to>
    <xdr:sp macro="[0]!RESIAtotal2" textlink="">
      <xdr:nvSpPr>
        <xdr:cNvPr id="146" name="Rectangl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12744448" y="5191125"/>
          <a:ext cx="247648" cy="133349"/>
        </a:xfrm>
        <a:prstGeom prst="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>
              <a:solidFill>
                <a:schemeClr val="tx1"/>
              </a:solidFill>
              <a:latin typeface="Berlin Sans FB Demi" panose="020E0802020502020306" pitchFamily="34" charset="0"/>
            </a:rPr>
            <a:t>  </a:t>
          </a:r>
          <a:r>
            <a:rPr lang="fr-FR" sz="1100" baseline="0"/>
            <a:t>  </a:t>
          </a:r>
          <a:endParaRPr lang="fr-FR" sz="1100"/>
        </a:p>
      </xdr:txBody>
    </xdr:sp>
    <xdr:clientData fPrintsWithSheet="0"/>
  </xdr:twoCellAnchor>
  <xdr:twoCellAnchor>
    <xdr:from>
      <xdr:col>28</xdr:col>
      <xdr:colOff>514348</xdr:colOff>
      <xdr:row>25</xdr:row>
      <xdr:rowOff>0</xdr:rowOff>
    </xdr:from>
    <xdr:to>
      <xdr:col>29</xdr:col>
      <xdr:colOff>9521</xdr:colOff>
      <xdr:row>25</xdr:row>
      <xdr:rowOff>133349</xdr:rowOff>
    </xdr:to>
    <xdr:sp macro="[0]!RESIAtoto" textlink="">
      <xdr:nvSpPr>
        <xdr:cNvPr id="147" name="Rectangl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13049248" y="5191125"/>
          <a:ext cx="314323" cy="133349"/>
        </a:xfrm>
        <a:prstGeom prst="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>
              <a:solidFill>
                <a:schemeClr val="tx1"/>
              </a:solidFill>
              <a:latin typeface="Berlin Sans FB Demi" panose="020E0802020502020306" pitchFamily="34" charset="0"/>
            </a:rPr>
            <a:t>  </a:t>
          </a:r>
          <a:r>
            <a:rPr lang="fr-FR" sz="1100" baseline="0"/>
            <a:t>  </a:t>
          </a:r>
          <a:endParaRPr lang="fr-FR" sz="1100"/>
        </a:p>
      </xdr:txBody>
    </xdr:sp>
    <xdr:clientData fPrintsWithSheet="0"/>
  </xdr:twoCellAnchor>
  <xdr:oneCellAnchor>
    <xdr:from>
      <xdr:col>23</xdr:col>
      <xdr:colOff>685800</xdr:colOff>
      <xdr:row>36</xdr:row>
      <xdr:rowOff>123825</xdr:rowOff>
    </xdr:from>
    <xdr:ext cx="184731" cy="264560"/>
    <xdr:sp macro="" textlink="">
      <xdr:nvSpPr>
        <xdr:cNvPr id="154" name="ZoneText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9124950" y="7077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0</xdr:col>
      <xdr:colOff>9526</xdr:colOff>
      <xdr:row>50</xdr:row>
      <xdr:rowOff>144780</xdr:rowOff>
    </xdr:from>
    <xdr:to>
      <xdr:col>21</xdr:col>
      <xdr:colOff>0</xdr:colOff>
      <xdr:row>59</xdr:row>
      <xdr:rowOff>106680</xdr:rowOff>
    </xdr:to>
    <xdr:sp macro="" textlink="">
      <xdr:nvSpPr>
        <xdr:cNvPr id="156" name="ZoneText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9526" y="9128760"/>
          <a:ext cx="7389494" cy="131826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L'élève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 pourra passer dans la classe supérieure s'il n'a subi avec succès un examen de repechage en.....................................................................................................................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passe dans la classe supérieure (1)                         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double la classe (1)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</a:t>
          </a:r>
          <a:r>
            <a:rPr lang="fr-FR" sz="7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FAIT A...................................., le....../....../20.........</a:t>
          </a:r>
        </a:p>
        <a:p>
          <a:r>
            <a:rPr lang="fr-FR" sz="7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                                                        </a:t>
          </a:r>
        </a:p>
        <a:p>
          <a:r>
            <a:rPr lang="fr-FR" sz="7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Signature de l'élève	        Sceau de l'école                                                                                        Le Chef d'Etablissement</a:t>
          </a:r>
        </a:p>
        <a:p>
          <a:endParaRPr lang="fr-FR" sz="700" b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fr-FR" sz="7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	            Nom et Signature</a:t>
          </a:r>
        </a:p>
        <a:p>
          <a:r>
            <a:rPr lang="fr-FR" sz="7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Biffer la mention inutile 			                 </a:t>
          </a:r>
        </a:p>
        <a:p>
          <a:r>
            <a:rPr lang="fr-FR" sz="7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Importante : le Bulletin est sans valeur s'il est raturé ou </a:t>
          </a:r>
          <a:r>
            <a:rPr lang="fr-FR" sz="700" b="0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surchargé.                                                                                                                                             IGE/P.S/010</a:t>
          </a:r>
        </a:p>
        <a:p>
          <a:r>
            <a:rPr lang="fr-FR" sz="7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</a:t>
          </a:r>
          <a:r>
            <a:rPr lang="fr-FR" sz="7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Interdiction formelle de réproduire ce bulletin sous peine des sanctions prévues par la loi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133350</xdr:rowOff>
    </xdr:from>
    <xdr:to>
      <xdr:col>1</xdr:col>
      <xdr:colOff>136525</xdr:colOff>
      <xdr:row>0</xdr:row>
      <xdr:rowOff>621587</xdr:rowOff>
    </xdr:to>
    <xdr:pic>
      <xdr:nvPicPr>
        <xdr:cNvPr id="114" name="Image 113">
          <a:extLst>
            <a:ext uri="{FF2B5EF4-FFF2-40B4-BE49-F238E27FC236}">
              <a16:creationId xmlns:a16="http://schemas.microsoft.com/office/drawing/2014/main" id="{4AD9B367-F2E3-4AE2-94F3-70770DEAD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3350"/>
          <a:ext cx="679450" cy="488237"/>
        </a:xfrm>
        <a:prstGeom prst="rect">
          <a:avLst/>
        </a:prstGeom>
      </xdr:spPr>
    </xdr:pic>
    <xdr:clientData/>
  </xdr:twoCellAnchor>
  <xdr:twoCellAnchor editAs="oneCell">
    <xdr:from>
      <xdr:col>19</xdr:col>
      <xdr:colOff>195259</xdr:colOff>
      <xdr:row>0</xdr:row>
      <xdr:rowOff>85726</xdr:rowOff>
    </xdr:from>
    <xdr:to>
      <xdr:col>20</xdr:col>
      <xdr:colOff>480519</xdr:colOff>
      <xdr:row>0</xdr:row>
      <xdr:rowOff>590551</xdr:rowOff>
    </xdr:to>
    <xdr:pic>
      <xdr:nvPicPr>
        <xdr:cNvPr id="115" name="Image 114">
          <a:extLst>
            <a:ext uri="{FF2B5EF4-FFF2-40B4-BE49-F238E27FC236}">
              <a16:creationId xmlns:a16="http://schemas.microsoft.com/office/drawing/2014/main" id="{EA251B01-3C5E-4C7D-967A-612633AA4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3209" y="85726"/>
          <a:ext cx="523385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209550</xdr:rowOff>
    </xdr:from>
    <xdr:to>
      <xdr:col>2</xdr:col>
      <xdr:colOff>1333500</xdr:colOff>
      <xdr:row>1</xdr:row>
      <xdr:rowOff>1800225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28625" y="800100"/>
          <a:ext cx="2733675" cy="1590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0">
              <a:latin typeface="Cambria" panose="02040503050406030204" pitchFamily="18" charset="0"/>
              <a:ea typeface="Cambria" panose="02040503050406030204" pitchFamily="18" charset="0"/>
            </a:rPr>
            <a:t>REPUBLIQUE DEMOCRATIQUE DU CONGO</a:t>
          </a:r>
        </a:p>
        <a:p>
          <a:r>
            <a:rPr lang="fr-FR" sz="1100" b="0">
              <a:latin typeface="Cambria" panose="02040503050406030204" pitchFamily="18" charset="0"/>
              <a:ea typeface="Cambria" panose="02040503050406030204" pitchFamily="18" charset="0"/>
            </a:rPr>
            <a:t>     MINISTERE</a:t>
          </a:r>
          <a:r>
            <a:rPr lang="fr-FR" sz="1100" b="0" baseline="0">
              <a:latin typeface="Cambria" panose="02040503050406030204" pitchFamily="18" charset="0"/>
              <a:ea typeface="Cambria" panose="02040503050406030204" pitchFamily="18" charset="0"/>
            </a:rPr>
            <a:t> DE L'ENSEIGNEMENT PRIMAIRE SECONDAIRE ET TECHNIQUE</a:t>
          </a:r>
        </a:p>
        <a:p>
          <a:endParaRPr lang="fr-FR" sz="1100" b="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fr-FR" sz="1100" b="1" baseline="0">
              <a:latin typeface="Cambria" panose="02040503050406030204" pitchFamily="18" charset="0"/>
              <a:ea typeface="Cambria" panose="02040503050406030204" pitchFamily="18" charset="0"/>
            </a:rPr>
            <a:t>          LYCEE MAMAN DIANKEBA  </a:t>
          </a:r>
        </a:p>
        <a:p>
          <a:pPr algn="ctr"/>
          <a:r>
            <a:rPr lang="fr-FR" sz="1100" b="1" baseline="0">
              <a:latin typeface="Cambria" panose="02040503050406030204" pitchFamily="18" charset="0"/>
              <a:ea typeface="Cambria" panose="02040503050406030204" pitchFamily="18" charset="0"/>
            </a:rPr>
            <a:t>Année Scolaire 2020-2021</a:t>
          </a:r>
        </a:p>
        <a:p>
          <a:pPr algn="ctr"/>
          <a:endParaRPr lang="fr-FR" sz="1100" b="1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pPr algn="ctr"/>
          <a:r>
            <a:rPr lang="fr-FR" sz="1100" b="1" baseline="0">
              <a:latin typeface="Arial Rounded MT Bold" panose="020F0704030504030204" pitchFamily="34" charset="0"/>
              <a:ea typeface="Cambria" panose="02040503050406030204" pitchFamily="18" charset="0"/>
            </a:rPr>
            <a:t>8 ème A</a:t>
          </a:r>
          <a:endParaRPr lang="fr-FR" sz="1100" b="1">
            <a:latin typeface="Arial Rounded MT Bold" panose="020F0704030504030204" pitchFamily="34" charset="0"/>
            <a:ea typeface="Cambria" panose="020405030504060302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1247775</xdr:rowOff>
    </xdr:from>
    <xdr:to>
      <xdr:col>0</xdr:col>
      <xdr:colOff>771525</xdr:colOff>
      <xdr:row>1</xdr:row>
      <xdr:rowOff>1800225</xdr:rowOff>
    </xdr:to>
    <xdr:pic macro="[0]!RB1P">
      <xdr:nvPicPr>
        <xdr:cNvPr id="2" name="Image 1">
          <a:extLst>
            <a:ext uri="{FF2B5EF4-FFF2-40B4-BE49-F238E27FC236}">
              <a16:creationId xmlns:a16="http://schemas.microsoft.com/office/drawing/2014/main" id="{D709828F-9E4C-4BAB-A50F-3F7BC6AFC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34515"/>
          <a:ext cx="552450" cy="552450"/>
        </a:xfrm>
        <a:prstGeom prst="ellipse">
          <a:avLst/>
        </a:prstGeom>
        <a:ln w="190500" cap="rnd">
          <a:solidFill>
            <a:schemeClr val="accent6">
              <a:lumMod val="60000"/>
              <a:lumOff val="40000"/>
            </a:schemeClr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1247775</xdr:rowOff>
    </xdr:from>
    <xdr:to>
      <xdr:col>0</xdr:col>
      <xdr:colOff>771525</xdr:colOff>
      <xdr:row>1</xdr:row>
      <xdr:rowOff>1800225</xdr:rowOff>
    </xdr:to>
    <xdr:pic macro="[0]!RB2P">
      <xdr:nvPicPr>
        <xdr:cNvPr id="2" name="Image 1">
          <a:extLst>
            <a:ext uri="{FF2B5EF4-FFF2-40B4-BE49-F238E27FC236}">
              <a16:creationId xmlns:a16="http://schemas.microsoft.com/office/drawing/2014/main" id="{0F2D7106-B8C7-42A3-985A-C3B8FA43C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34515"/>
          <a:ext cx="552450" cy="552450"/>
        </a:xfrm>
        <a:prstGeom prst="ellipse">
          <a:avLst/>
        </a:prstGeom>
        <a:ln w="190500" cap="rnd">
          <a:solidFill>
            <a:schemeClr val="accent6">
              <a:lumMod val="60000"/>
              <a:lumOff val="40000"/>
            </a:schemeClr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1247775</xdr:rowOff>
    </xdr:from>
    <xdr:to>
      <xdr:col>0</xdr:col>
      <xdr:colOff>771525</xdr:colOff>
      <xdr:row>1</xdr:row>
      <xdr:rowOff>1800225</xdr:rowOff>
    </xdr:to>
    <xdr:pic macro="[0]!RBEX1S">
      <xdr:nvPicPr>
        <xdr:cNvPr id="2" name="Image 1">
          <a:extLst>
            <a:ext uri="{FF2B5EF4-FFF2-40B4-BE49-F238E27FC236}">
              <a16:creationId xmlns:a16="http://schemas.microsoft.com/office/drawing/2014/main" id="{233877D4-E6A9-4E64-943F-7167145B3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34515"/>
          <a:ext cx="552450" cy="552450"/>
        </a:xfrm>
        <a:prstGeom prst="ellipse">
          <a:avLst/>
        </a:prstGeom>
        <a:ln w="190500" cap="rnd">
          <a:solidFill>
            <a:schemeClr val="accent6">
              <a:lumMod val="60000"/>
              <a:lumOff val="40000"/>
            </a:schemeClr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4754" displayName="Tableau4754" ref="B3:W76" totalsRowShown="0" headerRowDxfId="121" tableBorderDxfId="120">
  <autoFilter ref="B3:W76" xr:uid="{00000000-0009-0000-0100-000003000000}"/>
  <tableColumns count="22">
    <tableColumn id="1" xr3:uid="{00000000-0010-0000-0000-000001000000}" name="NOM" dataDxfId="119"/>
    <tableColumn id="2" xr3:uid="{00000000-0010-0000-0000-000002000000}" name="POST NOM" dataDxfId="118"/>
    <tableColumn id="3" xr3:uid="{00000000-0010-0000-0000-000003000000}" name="40" dataDxfId="117"/>
    <tableColumn id="4" xr3:uid="{00000000-0010-0000-0000-000004000000}" name="10" dataDxfId="116"/>
    <tableColumn id="5" xr3:uid="{00000000-0010-0000-0000-000005000000}" name="20" dataDxfId="115"/>
    <tableColumn id="6" xr3:uid="{00000000-0010-0000-0000-000006000000}" name="102" dataDxfId="114"/>
    <tableColumn id="7" xr3:uid="{00000000-0010-0000-0000-000007000000}" name="103" dataDxfId="113"/>
    <tableColumn id="8" xr3:uid="{00000000-0010-0000-0000-000008000000}" name="104" dataDxfId="112"/>
    <tableColumn id="9" xr3:uid="{00000000-0010-0000-0000-000009000000}" name="105" dataDxfId="111"/>
    <tableColumn id="10" xr3:uid="{00000000-0010-0000-0000-00000A000000}" name="106" dataDxfId="110"/>
    <tableColumn id="11" xr3:uid="{00000000-0010-0000-0000-00000B000000}" name="107" dataDxfId="109"/>
    <tableColumn id="12" xr3:uid="{00000000-0010-0000-0000-00000C000000}" name="108" dataDxfId="108"/>
    <tableColumn id="13" xr3:uid="{00000000-0010-0000-0000-00000D000000}" name="30" dataDxfId="107"/>
    <tableColumn id="14" xr3:uid="{00000000-0010-0000-0000-00000E000000}" name="70" dataDxfId="106"/>
    <tableColumn id="15" xr3:uid="{00000000-0010-0000-0000-00000F000000}" name="209" dataDxfId="105"/>
    <tableColumn id="16" xr3:uid="{00000000-0010-0000-0000-000010000000}" name="2010" dataDxfId="104"/>
    <tableColumn id="17" xr3:uid="{00000000-0010-0000-0000-000011000000}" name="2011" dataDxfId="103"/>
    <tableColumn id="18" xr3:uid="{00000000-0010-0000-0000-000012000000}" name="2012" dataDxfId="102"/>
    <tableColumn id="19" xr3:uid="{00000000-0010-0000-0000-000013000000}" name="202" dataDxfId="101"/>
    <tableColumn id="20" xr3:uid="{00000000-0010-0000-0000-000014000000}" name="2014" dataDxfId="100"/>
    <tableColumn id="21" xr3:uid="{00000000-0010-0000-0000-000015000000}" name="2015" dataDxfId="99"/>
    <tableColumn id="22" xr3:uid="{00000000-0010-0000-0000-000016000000}" name="2016" dataDxfId="9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97E93E-43DF-4D38-8155-8C22B1374A47}" name="Tableau4756" displayName="Tableau4756" ref="A3:W69" totalsRowShown="0" headerRowDxfId="91" tableBorderDxfId="90">
  <autoFilter ref="A3:W69" xr:uid="{00000000-0009-0000-0100-000004000000}"/>
  <sortState ref="A4:W64">
    <sortCondition ref="A3:A64"/>
  </sortState>
  <tableColumns count="23">
    <tableColumn id="1" xr3:uid="{9D4D7B20-C28B-48E6-922B-17C2C6B8FF8C}" name="NOM" dataDxfId="89"/>
    <tableColumn id="2" xr3:uid="{6F25F50A-8DC5-48D5-9FD8-2D78E8A91D25}" name="POST NOM" dataDxfId="88"/>
    <tableColumn id="3" xr3:uid="{B7848F58-43C7-4415-A7A1-961AC7AB4074}" name="40" dataDxfId="87"/>
    <tableColumn id="4" xr3:uid="{91D5EC27-B4D9-4BAF-B5F4-A3134F72DAC0}" name="10" dataDxfId="86"/>
    <tableColumn id="5" xr3:uid="{ECEFE7D9-BD94-4FBE-B37B-3B51F154F1B2}" name="20" dataDxfId="85"/>
    <tableColumn id="6" xr3:uid="{7DD4194C-0C2F-4F78-AA97-D6ABBA82F040}" name="102" dataDxfId="84"/>
    <tableColumn id="7" xr3:uid="{FE0F0E12-94A1-4A15-9CFE-C07DA35DB109}" name="103" dataDxfId="83"/>
    <tableColumn id="8" xr3:uid="{65F176AB-0E96-48B0-B61E-70D2FD17324C}" name="104" dataDxfId="82"/>
    <tableColumn id="9" xr3:uid="{3C39589E-BED5-432B-BB45-3FF9EAA9B470}" name="105" dataDxfId="81"/>
    <tableColumn id="10" xr3:uid="{85FDBCF2-6A0E-4533-8723-DDE1F1902225}" name="106" dataDxfId="80"/>
    <tableColumn id="11" xr3:uid="{CD532D03-3024-41B9-94B6-565F39E77026}" name="107" dataDxfId="79"/>
    <tableColumn id="12" xr3:uid="{E3CDB7B1-CBBF-4E8E-BD54-C4B61F6AB742}" name="108" dataDxfId="78"/>
    <tableColumn id="13" xr3:uid="{95C4CA77-0EDA-4D32-8C28-B1F8FDC2FD87}" name="30" dataDxfId="77"/>
    <tableColumn id="14" xr3:uid="{EBF97A9D-13EF-491F-99B1-A27E24B23CAA}" name="70" dataDxfId="76"/>
    <tableColumn id="15" xr3:uid="{6E08D351-3EB4-4F95-BE5C-45FD6511BF88}" name="209" dataDxfId="75"/>
    <tableColumn id="16" xr3:uid="{5ADE1915-6C54-41A0-B906-7B84714A72B0}" name="2010" dataDxfId="74"/>
    <tableColumn id="17" xr3:uid="{0F1B3B86-6834-45FE-AB88-6639F71B90A4}" name="2011" dataDxfId="73"/>
    <tableColumn id="18" xr3:uid="{1DE5A728-77D4-4530-9ED3-06BB15769079}" name="2012" dataDxfId="72"/>
    <tableColumn id="19" xr3:uid="{34FA1E4D-9A5C-4204-BC05-AFB622746707}" name="202" dataDxfId="71"/>
    <tableColumn id="20" xr3:uid="{5F64D60D-6F67-41D8-935C-A8817D2A1038}" name="2014" dataDxfId="70"/>
    <tableColumn id="21" xr3:uid="{2B1A0C51-C904-4FAB-89A8-5A40C94DD4A7}" name="2015" dataDxfId="69"/>
    <tableColumn id="22" xr3:uid="{544864B5-A21A-4287-8E20-D4F75A3D964E}" name="2016" dataDxfId="68"/>
    <tableColumn id="23" xr3:uid="{47800E30-4F21-4CC4-8993-7DB20F2B7EC8}" name="100" dataDxfId="6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31BCC-A623-4B9E-B121-886DD01C1CBA}" name="Tableau4712" displayName="Tableau4712" ref="A3:W76" totalsRowShown="0" headerRowDxfId="57" tableBorderDxfId="56">
  <autoFilter ref="A3:W76" xr:uid="{00000000-0009-0000-0100-000006000000}"/>
  <tableColumns count="23">
    <tableColumn id="1" xr3:uid="{81FA6A16-6A38-4E81-939D-FDF6F07FD77A}" name="NOM" dataDxfId="55"/>
    <tableColumn id="2" xr3:uid="{255B7040-449D-4478-9081-9D4F08507D14}" name="POST NOM" dataDxfId="54"/>
    <tableColumn id="3" xr3:uid="{46AD8D50-83FC-4BED-AE73-39BD7FDCCC0B}" name="40" dataDxfId="53"/>
    <tableColumn id="4" xr3:uid="{6EC20F91-F4D2-4941-B1B3-DF3CDEC27ADC}" name="10" dataDxfId="52"/>
    <tableColumn id="5" xr3:uid="{7CD2FF1C-B764-4514-B7E8-A53BA5EE1217}" name="20" dataDxfId="51"/>
    <tableColumn id="6" xr3:uid="{56C72EBD-E0FE-4B79-814B-FCE2EF98C271}" name="102" dataDxfId="50"/>
    <tableColumn id="7" xr3:uid="{7F20136F-C57F-4080-A235-7FF5D2FCC8B2}" name="103" dataDxfId="49"/>
    <tableColumn id="8" xr3:uid="{6CD1FAFA-4B12-433B-9F87-A98D576C413A}" name="104" dataDxfId="48"/>
    <tableColumn id="9" xr3:uid="{6B14BD0F-ED16-4FBA-AE7F-7D900C7A4EB7}" name="105" dataDxfId="47"/>
    <tableColumn id="10" xr3:uid="{9CE1308F-3D97-44FF-9DBD-E5B90D49C8BA}" name="106" dataDxfId="46"/>
    <tableColumn id="11" xr3:uid="{38F2621D-6257-492C-9373-CEA937657162}" name="107" dataDxfId="45"/>
    <tableColumn id="12" xr3:uid="{A4440E49-4062-4639-92F6-A3DAFAB1E49E}" name="108" dataDxfId="44"/>
    <tableColumn id="13" xr3:uid="{8784BF3C-F360-4498-9808-9FD3BEDFA9F0}" name="30" dataDxfId="43"/>
    <tableColumn id="14" xr3:uid="{C936E022-7ED2-4D10-A49E-E07508CC3A1E}" name="70" dataDxfId="42"/>
    <tableColumn id="15" xr3:uid="{70551783-7924-4AAD-9E9A-921BE1166F3F}" name="209" dataDxfId="41"/>
    <tableColumn id="16" xr3:uid="{16B66692-E3C2-44ED-A081-2928236BE714}" name="2010" dataDxfId="40"/>
    <tableColumn id="17" xr3:uid="{0B2F52EE-04F7-4258-BED2-8A5C5CE8D01D}" name="2011" dataDxfId="39"/>
    <tableColumn id="18" xr3:uid="{2703BDE5-96F4-4B87-B5FA-4AC45F166139}" name="2012" dataDxfId="38"/>
    <tableColumn id="19" xr3:uid="{50E67326-6C01-4631-9B82-437B0C50C2B1}" name="202" dataDxfId="37"/>
    <tableColumn id="20" xr3:uid="{7D0B6B33-0EB3-4BE3-8C91-2820DD363CB6}" name="2014" dataDxfId="36"/>
    <tableColumn id="21" xr3:uid="{8558AA2F-A1EA-411E-A0E8-9C5701A21818}" name="2015" dataDxfId="35"/>
    <tableColumn id="22" xr3:uid="{F2EF65EB-6AC0-47D5-BA00-463A16090883}" name="2016" dataDxfId="34"/>
    <tableColumn id="23" xr3:uid="{0844223F-CB63-49D0-B031-DE4C908385CF}" name="100" dataDxfId="33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22AB1E-BD32-4D01-AD1E-A22F33AA0B20}" name="Tableau47813" displayName="Tableau47813" ref="A3:W76" totalsRowShown="0" headerRowDxfId="24" tableBorderDxfId="23">
  <autoFilter ref="A3:W76" xr:uid="{00000000-0009-0000-0100-000007000000}"/>
  <tableColumns count="23">
    <tableColumn id="1" xr3:uid="{869A64E2-CE82-4952-B6B7-1CBDDAC435B0}" name="NOM" dataDxfId="22"/>
    <tableColumn id="2" xr3:uid="{B3180D27-C46F-4D50-A499-8CFE26308CE0}" name="POST NOM" dataDxfId="21"/>
    <tableColumn id="3" xr3:uid="{E8AE1D34-C9AE-4AA7-B747-827AD52FB060}" name="80" dataDxfId="20"/>
    <tableColumn id="4" xr3:uid="{BEB41234-B307-4199-A94A-ABE49352237A}" name="20" dataDxfId="19"/>
    <tableColumn id="5" xr3:uid="{9EA09282-B9ED-46E6-B0D1-ED03D2CAC62B}" name="40" dataDxfId="18"/>
    <tableColumn id="6" xr3:uid="{5B352D9D-4B44-488C-9028-C8927459636E}" name="202" dataDxfId="17"/>
    <tableColumn id="7" xr3:uid="{9FBF944B-B5CE-4006-A038-2D58E73F5196}" name="203" dataDxfId="16"/>
    <tableColumn id="8" xr3:uid="{CEB7D25B-17DA-4E92-9A8E-AFC57D470F59}" name="204" dataDxfId="15"/>
    <tableColumn id="9" xr3:uid="{8CA42E50-672F-4AF5-A323-1110F057B293}" name="205" dataDxfId="14"/>
    <tableColumn id="10" xr3:uid="{0542DBDB-484A-42BC-A8DE-943625C8A56C}" name="206" dataDxfId="13"/>
    <tableColumn id="11" xr3:uid="{D5F66616-7605-4D9A-B97A-C944ABEB2823}" name="207" dataDxfId="12"/>
    <tableColumn id="12" xr3:uid="{6E43C58A-1D35-4124-9418-13289EA93F95}" name="208" dataDxfId="11"/>
    <tableColumn id="13" xr3:uid="{391305CF-4BB1-4E3A-BAB1-45015978E693}" name="60" dataDxfId="10"/>
    <tableColumn id="14" xr3:uid="{F80F0D4C-E6AF-4109-8748-8D810FA86BA1}" name="140" dataDxfId="9"/>
    <tableColumn id="15" xr3:uid="{6DC1CE45-989F-47F1-85A3-5A966EABEF3D}" name="402" dataDxfId="8"/>
    <tableColumn id="16" xr3:uid="{A5382101-BCEF-49D7-A25A-D612A1A6A6F3}" name="403" dataDxfId="7"/>
    <tableColumn id="17" xr3:uid="{599B9D97-64E4-4FA1-B6FF-3ABE68721766}" name="404" dataDxfId="6"/>
    <tableColumn id="18" xr3:uid="{B190F236-7F3D-4CE2-957D-5F2E2998B736}" name="405" dataDxfId="5"/>
    <tableColumn id="19" xr3:uid="{438F9308-0E7B-44E5-B5DE-B15D23968FA6}" name="406" dataDxfId="4"/>
    <tableColumn id="20" xr3:uid="{FF23FEDC-6EA7-4262-BFBD-5BBD10929E50}" name="407" dataDxfId="3"/>
    <tableColumn id="21" xr3:uid="{AFAE6D82-6C77-48C3-859E-D73852699972}" name="408" dataDxfId="2"/>
    <tableColumn id="22" xr3:uid="{3EAD0328-67E2-46F2-85E9-33D678770F7F}" name="409" dataDxfId="1"/>
    <tableColumn id="23" xr3:uid="{901D0FAF-57B0-4207-9104-34AFBF0384EF}" name="100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C000"/>
        </a:solidFill>
      </a:spPr>
      <a:bodyPr vertOverflow="clip" horzOverflow="clip" rtlCol="0" anchor="t"/>
      <a:lstStyle>
        <a:defPPr algn="ctr">
          <a:defRPr sz="1050">
            <a:solidFill>
              <a:schemeClr val="tx1"/>
            </a:solidFill>
            <a:latin typeface="Berlin Sans FB" panose="020E0602020502020306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FFC000"/>
  </sheetPr>
  <dimension ref="A1:Y62"/>
  <sheetViews>
    <sheetView showGridLines="0" tabSelected="1" view="pageLayout" zoomScaleNormal="100" workbookViewId="0">
      <selection activeCell="A2" sqref="A2:U2"/>
    </sheetView>
  </sheetViews>
  <sheetFormatPr baseColWidth="10" defaultColWidth="11.42578125" defaultRowHeight="15" x14ac:dyDescent="0.25"/>
  <cols>
    <col min="1" max="1" width="8.42578125" style="13" customWidth="1"/>
    <col min="2" max="2" width="7.85546875" style="13" customWidth="1"/>
    <col min="3" max="5" width="4.28515625" style="13" customWidth="1"/>
    <col min="6" max="7" width="4.7109375" style="13" customWidth="1"/>
    <col min="8" max="9" width="4.42578125" style="13" customWidth="1"/>
    <col min="10" max="12" width="4.28515625" style="13" customWidth="1"/>
    <col min="13" max="14" width="4.7109375" style="13" customWidth="1"/>
    <col min="15" max="16" width="4.42578125" style="13" customWidth="1"/>
    <col min="17" max="18" width="4.7109375" style="13" customWidth="1"/>
    <col min="19" max="19" width="3.42578125" style="13" customWidth="1"/>
    <col min="20" max="20" width="3.28515625" style="13" customWidth="1"/>
    <col min="21" max="21" width="7.140625" style="13" customWidth="1"/>
    <col min="22" max="22" width="2.85546875" style="13" customWidth="1"/>
    <col min="23" max="16384" width="11.42578125" style="13"/>
  </cols>
  <sheetData>
    <row r="1" spans="1:25" ht="57.75" customHeight="1" x14ac:dyDescent="0.25">
      <c r="A1" s="161" t="s">
        <v>358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</row>
    <row r="2" spans="1:25" x14ac:dyDescent="0.25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</row>
    <row r="3" spans="1:25" x14ac:dyDescent="0.25">
      <c r="A3" s="198"/>
      <c r="B3" s="194"/>
      <c r="C3" s="194"/>
      <c r="D3" s="194"/>
      <c r="E3" s="194"/>
      <c r="F3" s="194"/>
      <c r="G3" s="194"/>
      <c r="H3" s="194"/>
      <c r="I3" s="199"/>
      <c r="J3" s="200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5"/>
    </row>
    <row r="4" spans="1:25" x14ac:dyDescent="0.25">
      <c r="A4" s="198"/>
      <c r="B4" s="194"/>
      <c r="C4" s="194"/>
      <c r="D4" s="194"/>
      <c r="E4" s="194"/>
      <c r="F4" s="194"/>
      <c r="G4" s="194"/>
      <c r="H4" s="194"/>
      <c r="I4" s="199"/>
      <c r="J4" s="200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5"/>
    </row>
    <row r="5" spans="1:25" x14ac:dyDescent="0.25">
      <c r="A5" s="198"/>
      <c r="B5" s="194"/>
      <c r="C5" s="194"/>
      <c r="D5" s="194"/>
      <c r="E5" s="194"/>
      <c r="F5" s="194"/>
      <c r="G5" s="194"/>
      <c r="H5" s="194"/>
      <c r="I5" s="199"/>
      <c r="J5" s="200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5"/>
    </row>
    <row r="6" spans="1:25" x14ac:dyDescent="0.25">
      <c r="A6" s="198"/>
      <c r="B6" s="194"/>
      <c r="C6" s="194"/>
      <c r="D6" s="194"/>
      <c r="E6" s="194"/>
      <c r="F6" s="194"/>
      <c r="G6" s="194"/>
      <c r="H6" s="194"/>
      <c r="I6" s="199"/>
      <c r="J6" s="200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5"/>
    </row>
    <row r="7" spans="1:25" ht="12" customHeight="1" x14ac:dyDescent="0.25">
      <c r="A7" s="189" t="s">
        <v>359</v>
      </c>
      <c r="B7" s="190"/>
      <c r="C7" s="156" t="s">
        <v>0</v>
      </c>
      <c r="D7" s="156"/>
      <c r="E7" s="156"/>
      <c r="F7" s="156"/>
      <c r="G7" s="156"/>
      <c r="H7" s="156"/>
      <c r="I7" s="158"/>
      <c r="J7" s="201" t="s">
        <v>42</v>
      </c>
      <c r="K7" s="156"/>
      <c r="L7" s="156"/>
      <c r="M7" s="156"/>
      <c r="N7" s="156"/>
      <c r="O7" s="156"/>
      <c r="P7" s="156"/>
      <c r="Q7" s="156"/>
      <c r="R7" s="156"/>
      <c r="S7" s="96"/>
      <c r="T7" s="169" t="s">
        <v>41</v>
      </c>
      <c r="U7" s="170"/>
    </row>
    <row r="8" spans="1:25" ht="24.75" customHeight="1" x14ac:dyDescent="0.25">
      <c r="A8" s="191"/>
      <c r="B8" s="190"/>
      <c r="C8" s="155" t="s">
        <v>362</v>
      </c>
      <c r="D8" s="155" t="s">
        <v>14</v>
      </c>
      <c r="E8" s="156"/>
      <c r="F8" s="155" t="s">
        <v>364</v>
      </c>
      <c r="G8" s="156"/>
      <c r="H8" s="155" t="s">
        <v>363</v>
      </c>
      <c r="I8" s="158"/>
      <c r="J8" s="202" t="s">
        <v>362</v>
      </c>
      <c r="K8" s="155" t="s">
        <v>14</v>
      </c>
      <c r="L8" s="156"/>
      <c r="M8" s="155" t="s">
        <v>364</v>
      </c>
      <c r="N8" s="156"/>
      <c r="O8" s="155" t="s">
        <v>363</v>
      </c>
      <c r="P8" s="156"/>
      <c r="Q8" s="155" t="s">
        <v>15</v>
      </c>
      <c r="R8" s="156"/>
      <c r="S8" s="96"/>
      <c r="T8" s="171"/>
      <c r="U8" s="172"/>
      <c r="X8" s="15"/>
      <c r="Y8" s="15"/>
    </row>
    <row r="9" spans="1:25" ht="17.25" customHeight="1" thickBot="1" x14ac:dyDescent="0.3">
      <c r="A9" s="192"/>
      <c r="B9" s="193"/>
      <c r="C9" s="159"/>
      <c r="D9" s="103" t="s">
        <v>368</v>
      </c>
      <c r="E9" s="103" t="s">
        <v>367</v>
      </c>
      <c r="F9" s="159"/>
      <c r="G9" s="159"/>
      <c r="H9" s="159"/>
      <c r="I9" s="160"/>
      <c r="J9" s="170"/>
      <c r="K9" s="102" t="s">
        <v>365</v>
      </c>
      <c r="L9" s="102" t="s">
        <v>366</v>
      </c>
      <c r="M9" s="157"/>
      <c r="N9" s="157"/>
      <c r="O9" s="157"/>
      <c r="P9" s="157"/>
      <c r="Q9" s="157"/>
      <c r="R9" s="157"/>
      <c r="S9" s="96"/>
      <c r="T9" s="121" t="s">
        <v>8</v>
      </c>
      <c r="U9" s="101" t="s">
        <v>369</v>
      </c>
    </row>
    <row r="10" spans="1:25" ht="12.75" customHeight="1" thickBot="1" x14ac:dyDescent="0.3">
      <c r="A10" s="183" t="s">
        <v>16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5"/>
      <c r="S10" s="14"/>
      <c r="T10" s="14"/>
      <c r="U10" s="120"/>
    </row>
    <row r="11" spans="1:25" ht="13.5" customHeight="1" thickBot="1" x14ac:dyDescent="0.3">
      <c r="A11" s="186" t="s">
        <v>17</v>
      </c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8"/>
      <c r="S11" s="17"/>
      <c r="T11" s="17"/>
      <c r="U11" s="18"/>
    </row>
    <row r="12" spans="1:25" ht="12.75" customHeight="1" x14ac:dyDescent="0.25">
      <c r="A12" s="97" t="s">
        <v>18</v>
      </c>
      <c r="B12" s="98"/>
      <c r="C12" s="55">
        <v>40</v>
      </c>
      <c r="D12" s="56"/>
      <c r="E12" s="56"/>
      <c r="F12" s="55">
        <v>80</v>
      </c>
      <c r="G12" s="12"/>
      <c r="H12" s="55">
        <v>160</v>
      </c>
      <c r="I12" s="108"/>
      <c r="J12" s="105">
        <v>40</v>
      </c>
      <c r="K12" s="56"/>
      <c r="L12" s="56"/>
      <c r="M12" s="55">
        <v>80</v>
      </c>
      <c r="N12" s="12"/>
      <c r="O12" s="55">
        <v>160</v>
      </c>
      <c r="P12" s="71"/>
      <c r="Q12" s="55">
        <v>320</v>
      </c>
      <c r="R12" s="122">
        <f>SUM(I12,P12)</f>
        <v>0</v>
      </c>
      <c r="S12" s="148"/>
      <c r="T12" s="20"/>
      <c r="U12" s="20"/>
    </row>
    <row r="13" spans="1:25" ht="12.75" customHeight="1" x14ac:dyDescent="0.25">
      <c r="A13" s="99" t="s">
        <v>19</v>
      </c>
      <c r="B13" s="100"/>
      <c r="C13" s="19">
        <v>10</v>
      </c>
      <c r="D13" s="4"/>
      <c r="E13" s="4"/>
      <c r="F13" s="19">
        <v>20</v>
      </c>
      <c r="G13" s="12"/>
      <c r="H13" s="19">
        <v>40</v>
      </c>
      <c r="I13" s="108"/>
      <c r="J13" s="106">
        <v>10</v>
      </c>
      <c r="K13" s="4"/>
      <c r="L13" s="4"/>
      <c r="M13" s="19">
        <v>20</v>
      </c>
      <c r="N13" s="12"/>
      <c r="O13" s="19">
        <v>40</v>
      </c>
      <c r="P13" s="67"/>
      <c r="Q13" s="19">
        <v>80</v>
      </c>
      <c r="R13" s="123">
        <f t="shared" ref="R13:R15" si="0">SUM(I13,P13)</f>
        <v>0</v>
      </c>
      <c r="S13" s="149"/>
      <c r="T13" s="20"/>
      <c r="U13" s="20"/>
    </row>
    <row r="14" spans="1:25" ht="12.75" customHeight="1" x14ac:dyDescent="0.25">
      <c r="A14" s="153" t="s">
        <v>20</v>
      </c>
      <c r="B14" s="154"/>
      <c r="C14" s="19">
        <v>20</v>
      </c>
      <c r="D14" s="12"/>
      <c r="E14" s="12"/>
      <c r="F14" s="19">
        <v>40</v>
      </c>
      <c r="G14" s="4"/>
      <c r="H14" s="19">
        <v>80</v>
      </c>
      <c r="I14" s="108"/>
      <c r="J14" s="106">
        <v>20</v>
      </c>
      <c r="K14" s="12"/>
      <c r="L14" s="12"/>
      <c r="M14" s="19">
        <v>40</v>
      </c>
      <c r="N14" s="4"/>
      <c r="O14" s="19">
        <v>80</v>
      </c>
      <c r="P14" s="67"/>
      <c r="Q14" s="19">
        <v>160</v>
      </c>
      <c r="R14" s="66">
        <f t="shared" si="0"/>
        <v>0</v>
      </c>
      <c r="S14" s="149"/>
      <c r="T14" s="22"/>
      <c r="U14" s="23"/>
    </row>
    <row r="15" spans="1:25" ht="12.75" customHeight="1" x14ac:dyDescent="0.25">
      <c r="A15" s="153" t="s">
        <v>44</v>
      </c>
      <c r="B15" s="154"/>
      <c r="C15" s="19">
        <v>10</v>
      </c>
      <c r="D15" s="4"/>
      <c r="E15" s="4"/>
      <c r="F15" s="19">
        <v>20</v>
      </c>
      <c r="G15" s="12"/>
      <c r="H15" s="19">
        <v>40</v>
      </c>
      <c r="I15" s="108"/>
      <c r="J15" s="106">
        <v>10</v>
      </c>
      <c r="K15" s="4"/>
      <c r="L15" s="4"/>
      <c r="M15" s="19">
        <v>20</v>
      </c>
      <c r="N15" s="12"/>
      <c r="O15" s="19">
        <v>40</v>
      </c>
      <c r="P15" s="68"/>
      <c r="Q15" s="19">
        <v>80</v>
      </c>
      <c r="R15" s="63">
        <f t="shared" si="0"/>
        <v>0</v>
      </c>
      <c r="S15" s="149"/>
      <c r="T15" s="146"/>
      <c r="U15" s="147"/>
    </row>
    <row r="16" spans="1:25" ht="12.75" customHeight="1" thickBot="1" x14ac:dyDescent="0.3">
      <c r="A16" s="196" t="s">
        <v>21</v>
      </c>
      <c r="B16" s="197"/>
      <c r="C16" s="19">
        <v>80</v>
      </c>
      <c r="D16" s="50"/>
      <c r="E16" s="50"/>
      <c r="F16" s="19">
        <v>160</v>
      </c>
      <c r="G16" s="50"/>
      <c r="H16" s="19">
        <v>320</v>
      </c>
      <c r="I16" s="111"/>
      <c r="J16" s="106">
        <v>80</v>
      </c>
      <c r="K16" s="69">
        <f>SUM(K12:K15)</f>
        <v>0</v>
      </c>
      <c r="L16" s="69">
        <f>SUM(L12:L15)</f>
        <v>0</v>
      </c>
      <c r="M16" s="19">
        <v>160</v>
      </c>
      <c r="N16" s="69">
        <f>SUM(N12:N15)</f>
        <v>0</v>
      </c>
      <c r="O16" s="19">
        <v>320</v>
      </c>
      <c r="P16" s="69"/>
      <c r="Q16" s="19">
        <v>640</v>
      </c>
      <c r="R16" s="69">
        <f>SUM(R12:R15)</f>
        <v>0</v>
      </c>
      <c r="S16" s="149"/>
      <c r="T16" s="24"/>
      <c r="U16" s="24"/>
    </row>
    <row r="17" spans="1:23" ht="13.5" customHeight="1" thickBot="1" x14ac:dyDescent="0.3">
      <c r="A17" s="130" t="s">
        <v>22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149"/>
      <c r="T17" s="25"/>
      <c r="U17" s="25"/>
    </row>
    <row r="18" spans="1:23" ht="12.75" customHeight="1" x14ac:dyDescent="0.25">
      <c r="A18" s="137" t="s">
        <v>23</v>
      </c>
      <c r="B18" s="138"/>
      <c r="C18" s="55">
        <v>10</v>
      </c>
      <c r="D18" s="26"/>
      <c r="E18" s="26"/>
      <c r="F18" s="55">
        <v>20</v>
      </c>
      <c r="G18" s="12"/>
      <c r="H18" s="55">
        <v>40</v>
      </c>
      <c r="I18" s="108"/>
      <c r="J18" s="105">
        <v>10</v>
      </c>
      <c r="K18" s="12"/>
      <c r="L18" s="12"/>
      <c r="M18" s="55">
        <v>20</v>
      </c>
      <c r="N18" s="12"/>
      <c r="O18" s="55">
        <v>40</v>
      </c>
      <c r="P18" s="62"/>
      <c r="Q18" s="55">
        <v>80</v>
      </c>
      <c r="R18" s="63">
        <f>SUM(I18,P18)</f>
        <v>0</v>
      </c>
      <c r="S18" s="149"/>
      <c r="T18" s="24"/>
      <c r="U18" s="24"/>
    </row>
    <row r="19" spans="1:23" ht="12.75" customHeight="1" x14ac:dyDescent="0.25">
      <c r="A19" s="139" t="s">
        <v>24</v>
      </c>
      <c r="B19" s="140"/>
      <c r="C19" s="19">
        <v>10</v>
      </c>
      <c r="D19" s="21"/>
      <c r="E19" s="21"/>
      <c r="F19" s="19">
        <v>20</v>
      </c>
      <c r="G19" s="12"/>
      <c r="H19" s="19">
        <v>40</v>
      </c>
      <c r="I19" s="108"/>
      <c r="J19" s="106">
        <v>10</v>
      </c>
      <c r="K19" s="12"/>
      <c r="L19" s="12"/>
      <c r="M19" s="19">
        <v>20</v>
      </c>
      <c r="N19" s="12"/>
      <c r="O19" s="19">
        <v>40</v>
      </c>
      <c r="P19" s="67"/>
      <c r="Q19" s="19">
        <v>80</v>
      </c>
      <c r="R19" s="63">
        <f t="shared" ref="R19:R20" si="1">SUM(I19,P19)</f>
        <v>0</v>
      </c>
      <c r="S19" s="149"/>
      <c r="T19" s="27"/>
      <c r="U19" s="27"/>
    </row>
    <row r="20" spans="1:23" ht="12.75" customHeight="1" x14ac:dyDescent="0.25">
      <c r="A20" s="135" t="s">
        <v>25</v>
      </c>
      <c r="B20" s="136"/>
      <c r="C20" s="19">
        <v>20</v>
      </c>
      <c r="D20" s="59"/>
      <c r="E20" s="59"/>
      <c r="F20" s="19">
        <v>40</v>
      </c>
      <c r="G20" s="56"/>
      <c r="H20" s="19">
        <v>80</v>
      </c>
      <c r="I20" s="108"/>
      <c r="J20" s="106">
        <v>20</v>
      </c>
      <c r="K20" s="59"/>
      <c r="L20" s="59"/>
      <c r="M20" s="19">
        <v>40</v>
      </c>
      <c r="N20" s="56"/>
      <c r="O20" s="19">
        <v>80</v>
      </c>
      <c r="P20" s="67"/>
      <c r="Q20" s="19">
        <v>160</v>
      </c>
      <c r="R20" s="66">
        <f t="shared" si="1"/>
        <v>0</v>
      </c>
      <c r="S20" s="149"/>
      <c r="T20" s="24"/>
      <c r="U20" s="24"/>
    </row>
    <row r="21" spans="1:23" ht="12.75" customHeight="1" thickBot="1" x14ac:dyDescent="0.3">
      <c r="A21" s="144" t="s">
        <v>21</v>
      </c>
      <c r="B21" s="145"/>
      <c r="C21" s="57">
        <v>40</v>
      </c>
      <c r="D21" s="56"/>
      <c r="E21" s="56"/>
      <c r="F21" s="57">
        <v>80</v>
      </c>
      <c r="G21" s="61"/>
      <c r="H21" s="57">
        <v>160</v>
      </c>
      <c r="I21" s="110"/>
      <c r="J21" s="104">
        <v>40</v>
      </c>
      <c r="K21" s="74"/>
      <c r="L21" s="74"/>
      <c r="M21" s="57">
        <v>80</v>
      </c>
      <c r="N21" s="75">
        <f>SUM(N18:N20)</f>
        <v>0</v>
      </c>
      <c r="O21" s="57">
        <v>160</v>
      </c>
      <c r="P21" s="66"/>
      <c r="Q21" s="57">
        <v>320</v>
      </c>
      <c r="R21" s="69">
        <f>SUM(R18:R20)</f>
        <v>0</v>
      </c>
      <c r="S21" s="149"/>
      <c r="T21" s="24"/>
      <c r="U21" s="24"/>
    </row>
    <row r="22" spans="1:23" ht="12" customHeight="1" thickBot="1" x14ac:dyDescent="0.3">
      <c r="A22" s="130" t="s">
        <v>26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2"/>
      <c r="S22" s="149"/>
      <c r="T22" s="25"/>
      <c r="U22" s="25"/>
    </row>
    <row r="23" spans="1:23" ht="12" customHeight="1" x14ac:dyDescent="0.25">
      <c r="A23" s="133" t="s">
        <v>27</v>
      </c>
      <c r="B23" s="134"/>
      <c r="C23" s="55">
        <v>10</v>
      </c>
      <c r="D23" s="26"/>
      <c r="E23" s="26"/>
      <c r="F23" s="55">
        <v>20</v>
      </c>
      <c r="G23" s="12"/>
      <c r="H23" s="55">
        <v>40</v>
      </c>
      <c r="I23" s="108"/>
      <c r="J23" s="105">
        <v>10</v>
      </c>
      <c r="K23" s="26"/>
      <c r="L23" s="26"/>
      <c r="M23" s="55">
        <v>20</v>
      </c>
      <c r="N23" s="12"/>
      <c r="O23" s="55">
        <v>40</v>
      </c>
      <c r="P23" s="62">
        <f>SUM(K23:L23,N23)</f>
        <v>0</v>
      </c>
      <c r="Q23" s="55">
        <v>80</v>
      </c>
      <c r="R23" s="63">
        <f>SUM(I23,P23)</f>
        <v>0</v>
      </c>
      <c r="S23" s="149"/>
      <c r="T23" s="24"/>
      <c r="U23" s="24"/>
    </row>
    <row r="24" spans="1:23" ht="12" customHeight="1" x14ac:dyDescent="0.25">
      <c r="A24" s="126" t="s">
        <v>28</v>
      </c>
      <c r="B24" s="127"/>
      <c r="C24" s="19">
        <v>10</v>
      </c>
      <c r="D24" s="26"/>
      <c r="E24" s="26"/>
      <c r="F24" s="19">
        <v>20</v>
      </c>
      <c r="G24" s="12"/>
      <c r="H24" s="19">
        <v>40</v>
      </c>
      <c r="I24" s="109"/>
      <c r="J24" s="106">
        <v>10</v>
      </c>
      <c r="K24" s="26"/>
      <c r="L24" s="26"/>
      <c r="M24" s="19">
        <v>20</v>
      </c>
      <c r="N24" s="12"/>
      <c r="O24" s="19">
        <v>40</v>
      </c>
      <c r="P24" s="67">
        <f t="shared" ref="P24:P25" si="2">SUM(K24:L24,N24)</f>
        <v>0</v>
      </c>
      <c r="Q24" s="19">
        <v>80</v>
      </c>
      <c r="R24" s="64">
        <f t="shared" ref="R24:R25" si="3">SUM(I24,P24)</f>
        <v>0</v>
      </c>
      <c r="S24" s="149"/>
      <c r="T24" s="27"/>
      <c r="U24" s="27"/>
    </row>
    <row r="25" spans="1:23" ht="12" customHeight="1" x14ac:dyDescent="0.25">
      <c r="A25" s="126" t="s">
        <v>29</v>
      </c>
      <c r="B25" s="127"/>
      <c r="C25" s="19">
        <v>10</v>
      </c>
      <c r="D25" s="26"/>
      <c r="E25" s="26"/>
      <c r="F25" s="19">
        <v>20</v>
      </c>
      <c r="G25" s="12"/>
      <c r="H25" s="19">
        <v>40</v>
      </c>
      <c r="I25" s="108"/>
      <c r="J25" s="106">
        <v>10</v>
      </c>
      <c r="K25" s="26"/>
      <c r="L25" s="26"/>
      <c r="M25" s="19">
        <v>20</v>
      </c>
      <c r="N25" s="12"/>
      <c r="O25" s="19">
        <v>40</v>
      </c>
      <c r="P25" s="68">
        <f t="shared" si="2"/>
        <v>0</v>
      </c>
      <c r="Q25" s="19">
        <v>80</v>
      </c>
      <c r="R25" s="64">
        <f t="shared" si="3"/>
        <v>0</v>
      </c>
      <c r="S25" s="149"/>
      <c r="T25" s="24"/>
      <c r="U25" s="24"/>
    </row>
    <row r="26" spans="1:23" ht="12" customHeight="1" thickBot="1" x14ac:dyDescent="0.3">
      <c r="A26" s="128" t="s">
        <v>21</v>
      </c>
      <c r="B26" s="129"/>
      <c r="C26" s="57">
        <v>30</v>
      </c>
      <c r="D26" s="58"/>
      <c r="E26" s="58"/>
      <c r="F26" s="57">
        <v>60</v>
      </c>
      <c r="G26" s="58"/>
      <c r="H26" s="57">
        <v>120</v>
      </c>
      <c r="I26" s="111"/>
      <c r="J26" s="104">
        <v>30</v>
      </c>
      <c r="K26" s="65">
        <f>SUM(K23:K25)</f>
        <v>0</v>
      </c>
      <c r="L26" s="65">
        <f>SUM(L23:L25)</f>
        <v>0</v>
      </c>
      <c r="M26" s="57">
        <v>60</v>
      </c>
      <c r="N26" s="65">
        <f>SUM(N23:N25)</f>
        <v>0</v>
      </c>
      <c r="O26" s="57">
        <v>120</v>
      </c>
      <c r="P26" s="65">
        <f>SUM(P23:P25)</f>
        <v>0</v>
      </c>
      <c r="Q26" s="57">
        <v>240</v>
      </c>
      <c r="R26" s="65">
        <f>SUM(R23:R25)</f>
        <v>0</v>
      </c>
      <c r="S26" s="149"/>
      <c r="T26" s="24"/>
      <c r="U26" s="24"/>
      <c r="W26" s="29"/>
    </row>
    <row r="27" spans="1:23" ht="12" customHeight="1" thickBot="1" x14ac:dyDescent="0.3">
      <c r="A27" s="130" t="s">
        <v>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2"/>
      <c r="S27" s="149"/>
      <c r="T27" s="25"/>
      <c r="U27" s="25"/>
    </row>
    <row r="28" spans="1:23" ht="12.75" customHeight="1" x14ac:dyDescent="0.25">
      <c r="A28" s="133" t="s">
        <v>31</v>
      </c>
      <c r="B28" s="134"/>
      <c r="C28" s="55">
        <v>30</v>
      </c>
      <c r="D28" s="26"/>
      <c r="E28" s="26"/>
      <c r="F28" s="55">
        <v>60</v>
      </c>
      <c r="G28" s="26"/>
      <c r="H28" s="55">
        <v>120</v>
      </c>
      <c r="I28" s="114"/>
      <c r="J28" s="105">
        <v>30</v>
      </c>
      <c r="K28" s="26"/>
      <c r="L28" s="26"/>
      <c r="M28" s="55">
        <v>60</v>
      </c>
      <c r="N28" s="26"/>
      <c r="O28" s="55">
        <v>120</v>
      </c>
      <c r="P28" s="62">
        <f>SUM(K28:L28,N28)</f>
        <v>0</v>
      </c>
      <c r="Q28" s="55">
        <v>240</v>
      </c>
      <c r="R28" s="62">
        <f>SUM(I28,P28)</f>
        <v>0</v>
      </c>
      <c r="S28" s="149"/>
      <c r="T28" s="24"/>
      <c r="U28" s="24"/>
    </row>
    <row r="29" spans="1:23" ht="12.75" customHeight="1" x14ac:dyDescent="0.25">
      <c r="A29" s="126" t="s">
        <v>13</v>
      </c>
      <c r="B29" s="127"/>
      <c r="C29" s="19">
        <v>50</v>
      </c>
      <c r="D29" s="12"/>
      <c r="E29" s="12"/>
      <c r="F29" s="19">
        <v>100</v>
      </c>
      <c r="G29" s="58"/>
      <c r="H29" s="19">
        <v>200</v>
      </c>
      <c r="I29" s="112"/>
      <c r="J29" s="106">
        <v>50</v>
      </c>
      <c r="K29" s="4"/>
      <c r="L29" s="4"/>
      <c r="M29" s="19">
        <v>100</v>
      </c>
      <c r="N29" s="58"/>
      <c r="O29" s="19">
        <v>200</v>
      </c>
      <c r="P29" s="63">
        <f>SUM(K29:L29,N29)</f>
        <v>0</v>
      </c>
      <c r="Q29" s="19">
        <v>400</v>
      </c>
      <c r="R29" s="70">
        <f>SUM(I29,P29)</f>
        <v>0</v>
      </c>
      <c r="S29" s="149"/>
      <c r="T29" s="27"/>
      <c r="U29" s="27"/>
    </row>
    <row r="30" spans="1:23" ht="12.75" customHeight="1" thickBot="1" x14ac:dyDescent="0.3">
      <c r="A30" s="141" t="s">
        <v>21</v>
      </c>
      <c r="B30" s="142"/>
      <c r="C30" s="57">
        <v>80</v>
      </c>
      <c r="D30" s="51"/>
      <c r="E30" s="51"/>
      <c r="F30" s="57">
        <v>160</v>
      </c>
      <c r="G30" s="49"/>
      <c r="H30" s="57">
        <v>320</v>
      </c>
      <c r="I30" s="111"/>
      <c r="J30" s="104">
        <v>80</v>
      </c>
      <c r="K30" s="63">
        <f>SUM(K28:K29)</f>
        <v>0</v>
      </c>
      <c r="L30" s="63">
        <f>SUM(L28:L29)</f>
        <v>0</v>
      </c>
      <c r="M30" s="57">
        <v>160</v>
      </c>
      <c r="N30" s="66"/>
      <c r="O30" s="57">
        <v>320</v>
      </c>
      <c r="P30" s="69">
        <f>SUM(P28:P29)</f>
        <v>0</v>
      </c>
      <c r="Q30" s="57">
        <v>640</v>
      </c>
      <c r="R30" s="69">
        <f>SUM(R28:R29)</f>
        <v>0</v>
      </c>
      <c r="S30" s="149"/>
      <c r="T30" s="24"/>
      <c r="U30" s="24"/>
    </row>
    <row r="31" spans="1:23" ht="12.75" customHeight="1" thickBot="1" x14ac:dyDescent="0.3">
      <c r="A31" s="130" t="s">
        <v>30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2"/>
      <c r="S31" s="149"/>
      <c r="T31" s="30"/>
      <c r="U31" s="30"/>
    </row>
    <row r="32" spans="1:23" ht="13.5" customHeight="1" x14ac:dyDescent="0.25">
      <c r="A32" s="133" t="s">
        <v>360</v>
      </c>
      <c r="B32" s="143"/>
      <c r="C32" s="55">
        <v>20</v>
      </c>
      <c r="D32" s="12"/>
      <c r="E32" s="92"/>
      <c r="F32" s="55">
        <v>40</v>
      </c>
      <c r="G32" s="26"/>
      <c r="H32" s="55">
        <v>80</v>
      </c>
      <c r="I32" s="112"/>
      <c r="J32" s="105">
        <v>20</v>
      </c>
      <c r="K32" s="12"/>
      <c r="L32" s="12"/>
      <c r="M32" s="55">
        <v>40</v>
      </c>
      <c r="N32" s="26"/>
      <c r="O32" s="55">
        <v>80</v>
      </c>
      <c r="P32" s="63">
        <f>SUM(K32:L32,N32)</f>
        <v>0</v>
      </c>
      <c r="Q32" s="55">
        <v>160</v>
      </c>
      <c r="R32" s="62">
        <f>SUM(I32,P32)</f>
        <v>0</v>
      </c>
      <c r="S32" s="149"/>
      <c r="T32" s="27"/>
      <c r="U32" s="27"/>
    </row>
    <row r="33" spans="1:21" ht="13.5" customHeight="1" x14ac:dyDescent="0.25">
      <c r="A33" s="126" t="s">
        <v>361</v>
      </c>
      <c r="B33" s="127"/>
      <c r="C33" s="19">
        <v>20</v>
      </c>
      <c r="D33" s="12"/>
      <c r="E33" s="12"/>
      <c r="F33" s="19">
        <v>40</v>
      </c>
      <c r="G33" s="21"/>
      <c r="H33" s="19">
        <v>80</v>
      </c>
      <c r="I33" s="113"/>
      <c r="J33" s="106">
        <v>20</v>
      </c>
      <c r="K33" s="12"/>
      <c r="L33" s="12"/>
      <c r="M33" s="19">
        <v>40</v>
      </c>
      <c r="N33" s="21"/>
      <c r="O33" s="19">
        <v>80</v>
      </c>
      <c r="P33" s="63"/>
      <c r="Q33" s="19">
        <v>160</v>
      </c>
      <c r="R33" s="66">
        <f t="shared" ref="R33:R35" si="4">SUM(I33,P33)</f>
        <v>0</v>
      </c>
      <c r="S33" s="149"/>
      <c r="T33" s="20"/>
      <c r="U33" s="20"/>
    </row>
    <row r="34" spans="1:21" ht="13.5" customHeight="1" x14ac:dyDescent="0.25">
      <c r="A34" s="126" t="s">
        <v>98</v>
      </c>
      <c r="B34" s="127"/>
      <c r="C34" s="19">
        <v>20</v>
      </c>
      <c r="D34" s="12"/>
      <c r="E34" s="12"/>
      <c r="F34" s="19">
        <v>40</v>
      </c>
      <c r="G34" s="21"/>
      <c r="H34" s="19">
        <v>80</v>
      </c>
      <c r="I34" s="113"/>
      <c r="J34" s="106">
        <v>20</v>
      </c>
      <c r="K34" s="12"/>
      <c r="L34" s="12"/>
      <c r="M34" s="19">
        <v>40</v>
      </c>
      <c r="N34" s="21"/>
      <c r="O34" s="19">
        <v>80</v>
      </c>
      <c r="P34" s="63"/>
      <c r="Q34" s="19">
        <v>160</v>
      </c>
      <c r="R34" s="66">
        <f t="shared" si="4"/>
        <v>0</v>
      </c>
      <c r="S34" s="149"/>
      <c r="T34" s="20"/>
      <c r="U34" s="20"/>
    </row>
    <row r="35" spans="1:21" ht="13.5" customHeight="1" x14ac:dyDescent="0.25">
      <c r="A35" s="126" t="s">
        <v>32</v>
      </c>
      <c r="B35" s="127"/>
      <c r="C35" s="19">
        <v>30</v>
      </c>
      <c r="D35" s="49"/>
      <c r="E35" s="49"/>
      <c r="F35" s="19">
        <v>60</v>
      </c>
      <c r="G35" s="58"/>
      <c r="H35" s="19">
        <v>120</v>
      </c>
      <c r="I35" s="107"/>
      <c r="J35" s="106">
        <v>30</v>
      </c>
      <c r="K35" s="49"/>
      <c r="L35" s="49"/>
      <c r="M35" s="19">
        <v>60</v>
      </c>
      <c r="N35" s="58"/>
      <c r="O35" s="19">
        <v>120</v>
      </c>
      <c r="P35" s="63"/>
      <c r="Q35" s="19">
        <v>240</v>
      </c>
      <c r="R35" s="65">
        <f t="shared" si="4"/>
        <v>0</v>
      </c>
      <c r="S35" s="149"/>
      <c r="T35" s="20"/>
      <c r="U35" s="20"/>
    </row>
    <row r="36" spans="1:21" ht="13.5" customHeight="1" x14ac:dyDescent="0.25">
      <c r="A36" s="126" t="s">
        <v>33</v>
      </c>
      <c r="B36" s="127"/>
      <c r="C36" s="19">
        <v>20</v>
      </c>
      <c r="D36" s="12"/>
      <c r="E36" s="12"/>
      <c r="F36" s="19">
        <v>40</v>
      </c>
      <c r="G36" s="21"/>
      <c r="H36" s="19">
        <v>80</v>
      </c>
      <c r="I36" s="113"/>
      <c r="J36" s="106">
        <v>20</v>
      </c>
      <c r="K36" s="12"/>
      <c r="L36" s="12"/>
      <c r="M36" s="19">
        <v>40</v>
      </c>
      <c r="N36" s="21"/>
      <c r="O36" s="19">
        <v>80</v>
      </c>
      <c r="P36" s="63"/>
      <c r="Q36" s="19">
        <v>160</v>
      </c>
      <c r="R36" s="66"/>
      <c r="S36" s="149"/>
      <c r="T36" s="20"/>
      <c r="U36" s="20"/>
    </row>
    <row r="37" spans="1:21" ht="13.5" customHeight="1" thickBot="1" x14ac:dyDescent="0.3">
      <c r="A37" s="128" t="s">
        <v>21</v>
      </c>
      <c r="B37" s="129"/>
      <c r="C37" s="57">
        <v>110</v>
      </c>
      <c r="D37" s="58"/>
      <c r="E37" s="58"/>
      <c r="F37" s="57">
        <v>200</v>
      </c>
      <c r="G37" s="58"/>
      <c r="H37" s="57">
        <v>400</v>
      </c>
      <c r="I37" s="111"/>
      <c r="J37" s="104">
        <v>100</v>
      </c>
      <c r="K37" s="63">
        <f>SUM(K32:K36)</f>
        <v>0</v>
      </c>
      <c r="L37" s="65">
        <f>SUM(L32:L36)</f>
        <v>0</v>
      </c>
      <c r="M37" s="57">
        <v>200</v>
      </c>
      <c r="N37" s="65">
        <f>SUM(N32:N36)</f>
        <v>0</v>
      </c>
      <c r="O37" s="57">
        <v>400</v>
      </c>
      <c r="P37" s="65"/>
      <c r="Q37" s="57">
        <v>800</v>
      </c>
      <c r="R37" s="65">
        <f>SUM(R32:R36)</f>
        <v>0</v>
      </c>
      <c r="S37" s="149"/>
      <c r="T37" s="20"/>
      <c r="U37" s="20"/>
    </row>
    <row r="38" spans="1:21" ht="12" customHeight="1" thickBot="1" x14ac:dyDescent="0.3">
      <c r="A38" s="130" t="s">
        <v>34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2"/>
      <c r="S38" s="150"/>
      <c r="T38" s="14"/>
      <c r="U38" s="16"/>
    </row>
    <row r="39" spans="1:21" ht="12" customHeight="1" x14ac:dyDescent="0.25">
      <c r="A39" s="133" t="s">
        <v>35</v>
      </c>
      <c r="B39" s="134"/>
      <c r="C39" s="55">
        <v>20</v>
      </c>
      <c r="D39" s="12"/>
      <c r="E39" s="12"/>
      <c r="F39" s="55">
        <v>40</v>
      </c>
      <c r="G39" s="26"/>
      <c r="H39" s="55">
        <v>80</v>
      </c>
      <c r="I39" s="112"/>
      <c r="J39" s="105">
        <v>20</v>
      </c>
      <c r="K39" s="12"/>
      <c r="L39" s="12"/>
      <c r="M39" s="55">
        <v>40</v>
      </c>
      <c r="N39" s="26">
        <v>40</v>
      </c>
      <c r="O39" s="55">
        <v>80</v>
      </c>
      <c r="P39" s="63">
        <f>SUM(K39:L39,N39)</f>
        <v>40</v>
      </c>
      <c r="Q39" s="55">
        <v>160</v>
      </c>
      <c r="R39" s="62">
        <f>SUM(I39,P39)</f>
        <v>40</v>
      </c>
      <c r="S39" s="31"/>
      <c r="T39" s="20"/>
      <c r="U39" s="20"/>
    </row>
    <row r="40" spans="1:21" ht="12" customHeight="1" x14ac:dyDescent="0.25">
      <c r="A40" s="126" t="s">
        <v>36</v>
      </c>
      <c r="B40" s="127"/>
      <c r="C40" s="19">
        <v>20</v>
      </c>
      <c r="D40" s="12"/>
      <c r="E40" s="12"/>
      <c r="F40" s="19">
        <v>40</v>
      </c>
      <c r="G40" s="21"/>
      <c r="H40" s="19">
        <v>80</v>
      </c>
      <c r="I40" s="113"/>
      <c r="J40" s="106">
        <v>20</v>
      </c>
      <c r="K40" s="12"/>
      <c r="L40" s="12"/>
      <c r="M40" s="19">
        <v>40</v>
      </c>
      <c r="N40" s="21">
        <v>30</v>
      </c>
      <c r="O40" s="19">
        <v>80</v>
      </c>
      <c r="P40" s="64">
        <f>SUM(K40:L40,N40)</f>
        <v>30</v>
      </c>
      <c r="Q40" s="19">
        <v>160</v>
      </c>
      <c r="R40" s="66">
        <f>SUM(I40,P40)</f>
        <v>30</v>
      </c>
      <c r="S40" s="14"/>
      <c r="T40" s="20"/>
      <c r="U40" s="20"/>
    </row>
    <row r="41" spans="1:21" ht="12" customHeight="1" thickBot="1" x14ac:dyDescent="0.3">
      <c r="A41" s="128" t="s">
        <v>21</v>
      </c>
      <c r="B41" s="129"/>
      <c r="C41" s="57">
        <v>40</v>
      </c>
      <c r="D41" s="60"/>
      <c r="E41" s="60"/>
      <c r="F41" s="57">
        <v>80</v>
      </c>
      <c r="G41" s="58"/>
      <c r="H41" s="57">
        <v>160</v>
      </c>
      <c r="I41" s="107"/>
      <c r="J41" s="104">
        <v>40</v>
      </c>
      <c r="K41" s="76">
        <f>SUM(K39:K40)</f>
        <v>0</v>
      </c>
      <c r="L41" s="76">
        <f>SUM(L39:L40)</f>
        <v>0</v>
      </c>
      <c r="M41" s="57">
        <v>80</v>
      </c>
      <c r="N41" s="65">
        <f>SUM(N39:N40)</f>
        <v>70</v>
      </c>
      <c r="O41" s="57">
        <v>160</v>
      </c>
      <c r="P41" s="65">
        <f>SUM(P39:P40)</f>
        <v>70</v>
      </c>
      <c r="Q41" s="57">
        <v>320</v>
      </c>
      <c r="R41" s="65">
        <f>SUM(R39:R40)</f>
        <v>70</v>
      </c>
      <c r="S41" s="14"/>
      <c r="T41" s="20"/>
      <c r="U41" s="20"/>
    </row>
    <row r="42" spans="1:21" ht="12.75" customHeight="1" thickBot="1" x14ac:dyDescent="0.3">
      <c r="A42" s="130" t="s">
        <v>37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2"/>
      <c r="S42" s="14"/>
      <c r="T42" s="14"/>
      <c r="U42" s="16"/>
    </row>
    <row r="43" spans="1:21" ht="12.75" customHeight="1" x14ac:dyDescent="0.25">
      <c r="A43" s="133" t="s">
        <v>38</v>
      </c>
      <c r="B43" s="134"/>
      <c r="C43" s="55">
        <v>20</v>
      </c>
      <c r="D43" s="12"/>
      <c r="E43" s="12"/>
      <c r="F43" s="55">
        <v>40</v>
      </c>
      <c r="G43" s="26"/>
      <c r="H43" s="55">
        <v>80</v>
      </c>
      <c r="I43" s="113"/>
      <c r="J43" s="105">
        <v>20</v>
      </c>
      <c r="K43" s="12"/>
      <c r="L43" s="12"/>
      <c r="M43" s="55">
        <v>40</v>
      </c>
      <c r="N43" s="26"/>
      <c r="O43" s="55">
        <v>80</v>
      </c>
      <c r="P43" s="63"/>
      <c r="Q43" s="55">
        <v>160</v>
      </c>
      <c r="R43" s="62">
        <f>SUM(I43,P43)</f>
        <v>0</v>
      </c>
      <c r="S43" s="32"/>
      <c r="T43" s="33"/>
      <c r="U43" s="20"/>
    </row>
    <row r="44" spans="1:21" ht="12.75" customHeight="1" x14ac:dyDescent="0.25">
      <c r="A44" s="124" t="s">
        <v>21</v>
      </c>
      <c r="B44" s="125"/>
      <c r="C44" s="19">
        <v>20</v>
      </c>
      <c r="D44" s="51"/>
      <c r="E44" s="51"/>
      <c r="F44" s="19">
        <v>40</v>
      </c>
      <c r="G44" s="21"/>
      <c r="H44" s="52">
        <v>80</v>
      </c>
      <c r="I44" s="113"/>
      <c r="J44" s="106">
        <v>20</v>
      </c>
      <c r="K44" s="63">
        <f>K43</f>
        <v>0</v>
      </c>
      <c r="L44" s="63">
        <f>L43</f>
        <v>0</v>
      </c>
      <c r="M44" s="19">
        <v>40</v>
      </c>
      <c r="N44" s="67">
        <f>N43</f>
        <v>0</v>
      </c>
      <c r="O44" s="19">
        <v>80</v>
      </c>
      <c r="P44" s="64">
        <f>P43</f>
        <v>0</v>
      </c>
      <c r="Q44" s="19">
        <v>160</v>
      </c>
      <c r="R44" s="66">
        <f>R43</f>
        <v>0</v>
      </c>
      <c r="S44" s="34"/>
      <c r="T44" s="33"/>
      <c r="U44" s="20"/>
    </row>
    <row r="45" spans="1:21" ht="12.75" customHeight="1" x14ac:dyDescent="0.25">
      <c r="A45" s="124" t="s">
        <v>1</v>
      </c>
      <c r="B45" s="125"/>
      <c r="C45" s="19">
        <v>400</v>
      </c>
      <c r="D45" s="35"/>
      <c r="E45" s="4"/>
      <c r="F45" s="19">
        <v>800</v>
      </c>
      <c r="G45" s="4"/>
      <c r="H45" s="88">
        <v>1600</v>
      </c>
      <c r="I45" s="117"/>
      <c r="J45" s="106">
        <v>400</v>
      </c>
      <c r="K45" s="4"/>
      <c r="L45" s="4"/>
      <c r="M45" s="19">
        <v>800</v>
      </c>
      <c r="N45" s="4"/>
      <c r="O45" s="88">
        <v>1600</v>
      </c>
      <c r="P45" s="4"/>
      <c r="Q45" s="88">
        <v>3200</v>
      </c>
      <c r="R45" s="4"/>
      <c r="S45" s="34"/>
      <c r="T45" s="14"/>
      <c r="U45" s="16"/>
    </row>
    <row r="46" spans="1:21" ht="12.75" customHeight="1" x14ac:dyDescent="0.25">
      <c r="A46" s="124" t="s">
        <v>2</v>
      </c>
      <c r="B46" s="125"/>
      <c r="C46" s="36"/>
      <c r="D46" s="79"/>
      <c r="E46" s="79"/>
      <c r="F46" s="36"/>
      <c r="G46" s="79"/>
      <c r="H46" s="28"/>
      <c r="I46" s="118"/>
      <c r="J46" s="115"/>
      <c r="K46" s="66"/>
      <c r="L46" s="66"/>
      <c r="M46" s="37"/>
      <c r="N46" s="78"/>
      <c r="O46" s="37"/>
      <c r="P46" s="72"/>
      <c r="Q46" s="37"/>
      <c r="R46" s="72"/>
      <c r="S46" s="34"/>
      <c r="T46" s="164" t="s">
        <v>40</v>
      </c>
      <c r="U46" s="165"/>
    </row>
    <row r="47" spans="1:21" ht="12.75" customHeight="1" x14ac:dyDescent="0.25">
      <c r="A47" s="124" t="s">
        <v>3</v>
      </c>
      <c r="B47" s="125"/>
      <c r="C47" s="36"/>
      <c r="D47" s="80"/>
      <c r="E47" s="80"/>
      <c r="F47" s="36"/>
      <c r="G47" s="80"/>
      <c r="H47" s="28"/>
      <c r="I47" s="118"/>
      <c r="J47" s="115"/>
      <c r="K47" s="73"/>
      <c r="L47" s="77"/>
      <c r="M47" s="37"/>
      <c r="N47" s="73"/>
      <c r="O47" s="37"/>
      <c r="P47" s="73"/>
      <c r="Q47" s="37"/>
      <c r="R47" s="73"/>
      <c r="S47" s="34"/>
      <c r="T47" s="166"/>
      <c r="U47" s="165"/>
    </row>
    <row r="48" spans="1:21" ht="12.75" customHeight="1" x14ac:dyDescent="0.25">
      <c r="A48" s="124" t="s">
        <v>57</v>
      </c>
      <c r="B48" s="125"/>
      <c r="C48" s="38"/>
      <c r="D48" s="39"/>
      <c r="E48" s="39"/>
      <c r="F48" s="38"/>
      <c r="G48" s="39"/>
      <c r="H48" s="39"/>
      <c r="I48" s="119"/>
      <c r="J48" s="116"/>
      <c r="K48" s="39"/>
      <c r="L48" s="39"/>
      <c r="M48" s="40"/>
      <c r="N48" s="39"/>
      <c r="O48" s="40"/>
      <c r="P48" s="39"/>
      <c r="Q48" s="37"/>
      <c r="R48" s="39"/>
      <c r="S48" s="41"/>
      <c r="T48" s="166"/>
      <c r="U48" s="165"/>
    </row>
    <row r="49" spans="1:21" ht="12.75" customHeight="1" x14ac:dyDescent="0.25">
      <c r="A49" s="124" t="s">
        <v>4</v>
      </c>
      <c r="B49" s="125"/>
      <c r="C49" s="43"/>
      <c r="D49" s="42"/>
      <c r="E49" s="42"/>
      <c r="F49" s="43"/>
      <c r="G49" s="43"/>
      <c r="H49" s="43"/>
      <c r="I49" s="43"/>
      <c r="J49" s="43"/>
      <c r="K49" s="42"/>
      <c r="L49" s="42"/>
      <c r="M49" s="43"/>
      <c r="N49" s="42"/>
      <c r="O49" s="43"/>
      <c r="P49" s="42"/>
      <c r="Q49" s="44"/>
      <c r="R49" s="42"/>
      <c r="S49" s="45"/>
      <c r="T49" s="166"/>
      <c r="U49" s="165"/>
    </row>
    <row r="50" spans="1:21" ht="12.75" customHeight="1" x14ac:dyDescent="0.25">
      <c r="A50" s="173" t="s">
        <v>5</v>
      </c>
      <c r="B50" s="174"/>
      <c r="C50" s="25"/>
      <c r="D50" s="24"/>
      <c r="E50" s="24"/>
      <c r="F50" s="25"/>
      <c r="G50" s="25"/>
      <c r="H50" s="25"/>
      <c r="I50" s="25"/>
      <c r="J50" s="25"/>
      <c r="K50" s="24"/>
      <c r="L50" s="24"/>
      <c r="M50" s="25"/>
      <c r="N50" s="25"/>
      <c r="O50" s="25"/>
      <c r="P50" s="25"/>
      <c r="Q50" s="46"/>
      <c r="R50" s="25"/>
      <c r="S50" s="47"/>
      <c r="T50" s="166"/>
      <c r="U50" s="165"/>
    </row>
    <row r="51" spans="1:21" ht="12.75" customHeight="1" thickBot="1" x14ac:dyDescent="0.3">
      <c r="A51" s="175" t="s">
        <v>39</v>
      </c>
      <c r="B51" s="176"/>
      <c r="C51" s="180"/>
      <c r="D51" s="181"/>
      <c r="E51" s="48"/>
      <c r="F51" s="180"/>
      <c r="G51" s="182"/>
      <c r="H51" s="182"/>
      <c r="I51" s="182"/>
      <c r="J51" s="181"/>
      <c r="K51" s="48"/>
      <c r="L51" s="48"/>
      <c r="M51" s="177"/>
      <c r="N51" s="178"/>
      <c r="O51" s="178"/>
      <c r="P51" s="178"/>
      <c r="Q51" s="178"/>
      <c r="R51" s="178"/>
      <c r="S51" s="179"/>
      <c r="T51" s="167"/>
      <c r="U51" s="168"/>
    </row>
    <row r="53" spans="1:21" ht="12.6" customHeight="1" x14ac:dyDescent="0.25"/>
    <row r="54" spans="1:21" ht="12" customHeight="1" x14ac:dyDescent="0.25"/>
    <row r="55" spans="1:21" ht="8.4499999999999993" customHeight="1" x14ac:dyDescent="0.25"/>
    <row r="56" spans="1:21" ht="9.6" customHeight="1" x14ac:dyDescent="0.25"/>
    <row r="57" spans="1:21" ht="10.9" customHeight="1" x14ac:dyDescent="0.25"/>
    <row r="58" spans="1:21" ht="12" customHeight="1" x14ac:dyDescent="0.25"/>
    <row r="59" spans="1:21" ht="12" customHeight="1" x14ac:dyDescent="0.25"/>
    <row r="60" spans="1:21" ht="11.45" customHeight="1" x14ac:dyDescent="0.25"/>
    <row r="61" spans="1:21" ht="7.9" customHeight="1" x14ac:dyDescent="0.25"/>
    <row r="62" spans="1:21" ht="7.15" customHeight="1" x14ac:dyDescent="0.25"/>
  </sheetData>
  <mergeCells count="73">
    <mergeCell ref="S3:U3"/>
    <mergeCell ref="S4:U4"/>
    <mergeCell ref="S5:U5"/>
    <mergeCell ref="S6:U6"/>
    <mergeCell ref="A16:B16"/>
    <mergeCell ref="A3:I3"/>
    <mergeCell ref="A4:I4"/>
    <mergeCell ref="A5:I5"/>
    <mergeCell ref="A6:I6"/>
    <mergeCell ref="J3:R3"/>
    <mergeCell ref="J4:R4"/>
    <mergeCell ref="J5:R5"/>
    <mergeCell ref="J6:R6"/>
    <mergeCell ref="J7:R7"/>
    <mergeCell ref="J8:J9"/>
    <mergeCell ref="Q8:R9"/>
    <mergeCell ref="A1:U1"/>
    <mergeCell ref="A2:U2"/>
    <mergeCell ref="T46:U51"/>
    <mergeCell ref="T7:U8"/>
    <mergeCell ref="A48:B48"/>
    <mergeCell ref="A49:B49"/>
    <mergeCell ref="A50:B50"/>
    <mergeCell ref="A51:B51"/>
    <mergeCell ref="M51:S51"/>
    <mergeCell ref="C51:D51"/>
    <mergeCell ref="F51:J51"/>
    <mergeCell ref="A10:R10"/>
    <mergeCell ref="A11:R11"/>
    <mergeCell ref="A7:B9"/>
    <mergeCell ref="A17:R17"/>
    <mergeCell ref="A22:R22"/>
    <mergeCell ref="M8:N9"/>
    <mergeCell ref="O8:P9"/>
    <mergeCell ref="K8:L8"/>
    <mergeCell ref="C7:I7"/>
    <mergeCell ref="C8:C9"/>
    <mergeCell ref="F8:G9"/>
    <mergeCell ref="H8:I9"/>
    <mergeCell ref="D8:E8"/>
    <mergeCell ref="T15:U15"/>
    <mergeCell ref="S12:S38"/>
    <mergeCell ref="A27:R27"/>
    <mergeCell ref="A31:R31"/>
    <mergeCell ref="A38:R38"/>
    <mergeCell ref="A34:B34"/>
    <mergeCell ref="A35:B35"/>
    <mergeCell ref="A14:B14"/>
    <mergeCell ref="A15:B15"/>
    <mergeCell ref="A39:B39"/>
    <mergeCell ref="A20:B20"/>
    <mergeCell ref="A18:B18"/>
    <mergeCell ref="A19:B19"/>
    <mergeCell ref="A25:B25"/>
    <mergeCell ref="A30:B30"/>
    <mergeCell ref="A32:B32"/>
    <mergeCell ref="A33:B33"/>
    <mergeCell ref="A21:B21"/>
    <mergeCell ref="A23:B23"/>
    <mergeCell ref="A24:B24"/>
    <mergeCell ref="A26:B26"/>
    <mergeCell ref="A28:B28"/>
    <mergeCell ref="A29:B29"/>
    <mergeCell ref="A36:B36"/>
    <mergeCell ref="A37:B37"/>
    <mergeCell ref="A45:B45"/>
    <mergeCell ref="A46:B46"/>
    <mergeCell ref="A47:B47"/>
    <mergeCell ref="A40:B40"/>
    <mergeCell ref="A41:B41"/>
    <mergeCell ref="A42:R42"/>
    <mergeCell ref="A43:B43"/>
    <mergeCell ref="A44:B44"/>
  </mergeCells>
  <conditionalFormatting sqref="D12:E12 G14 N14 K12:L12">
    <cfRule type="cellIs" dxfId="281" priority="330" operator="lessThan">
      <formula>20</formula>
    </cfRule>
    <cfRule type="cellIs" dxfId="280" priority="331" operator="greaterThan">
      <formula>40</formula>
    </cfRule>
  </conditionalFormatting>
  <conditionalFormatting sqref="D13:E13 K13:L13 D18:E19 K18:L19 D23:E25 K23:L25">
    <cfRule type="cellIs" dxfId="279" priority="329" operator="greaterThan">
      <formula>10</formula>
    </cfRule>
  </conditionalFormatting>
  <conditionalFormatting sqref="D13:E13 K13:L13 D18:E19 K18:L19 D23:E25 K23:L25">
    <cfRule type="cellIs" dxfId="278" priority="328" operator="lessThan">
      <formula>5</formula>
    </cfRule>
  </conditionalFormatting>
  <conditionalFormatting sqref="G43:G44">
    <cfRule type="cellIs" dxfId="277" priority="294" operator="lessThan">
      <formula>20</formula>
    </cfRule>
    <cfRule type="cellIs" dxfId="276" priority="295" operator="greaterThan">
      <formula>40</formula>
    </cfRule>
  </conditionalFormatting>
  <conditionalFormatting sqref="G32:G34 G36">
    <cfRule type="cellIs" dxfId="275" priority="302" operator="lessThan">
      <formula>20</formula>
    </cfRule>
    <cfRule type="cellIs" dxfId="274" priority="303" operator="greaterThan">
      <formula>40</formula>
    </cfRule>
  </conditionalFormatting>
  <conditionalFormatting sqref="N32:N34 N36">
    <cfRule type="cellIs" dxfId="273" priority="300" operator="lessThan">
      <formula>20</formula>
    </cfRule>
    <cfRule type="cellIs" dxfId="272" priority="301" operator="greaterThan">
      <formula>40</formula>
    </cfRule>
  </conditionalFormatting>
  <conditionalFormatting sqref="D14:E14">
    <cfRule type="cellIs" dxfId="271" priority="290" operator="lessThan">
      <formula>10</formula>
    </cfRule>
    <cfRule type="cellIs" dxfId="270" priority="291" operator="greaterThan">
      <formula>20</formula>
    </cfRule>
  </conditionalFormatting>
  <conditionalFormatting sqref="K14:L14">
    <cfRule type="cellIs" dxfId="269" priority="288" operator="lessThan">
      <formula>10</formula>
    </cfRule>
    <cfRule type="cellIs" dxfId="268" priority="289" operator="greaterThan">
      <formula>20</formula>
    </cfRule>
  </conditionalFormatting>
  <conditionalFormatting sqref="K15:L15">
    <cfRule type="cellIs" dxfId="267" priority="287" operator="greaterThan">
      <formula>10</formula>
    </cfRule>
  </conditionalFormatting>
  <conditionalFormatting sqref="K15:L15">
    <cfRule type="cellIs" dxfId="266" priority="286" operator="lessThan">
      <formula>5</formula>
    </cfRule>
  </conditionalFormatting>
  <conditionalFormatting sqref="D15:E15">
    <cfRule type="cellIs" dxfId="265" priority="285" operator="greaterThan">
      <formula>10</formula>
    </cfRule>
  </conditionalFormatting>
  <conditionalFormatting sqref="D15:E15">
    <cfRule type="cellIs" dxfId="264" priority="284" operator="lessThan">
      <formula>5</formula>
    </cfRule>
  </conditionalFormatting>
  <conditionalFormatting sqref="G15">
    <cfRule type="cellIs" dxfId="263" priority="282" operator="lessThan">
      <formula>10</formula>
    </cfRule>
    <cfRule type="cellIs" dxfId="262" priority="283" operator="greaterThan">
      <formula>20</formula>
    </cfRule>
  </conditionalFormatting>
  <conditionalFormatting sqref="N13">
    <cfRule type="cellIs" dxfId="261" priority="280" operator="lessThan">
      <formula>10</formula>
    </cfRule>
    <cfRule type="cellIs" dxfId="260" priority="281" operator="greaterThan">
      <formula>20</formula>
    </cfRule>
  </conditionalFormatting>
  <conditionalFormatting sqref="N15">
    <cfRule type="cellIs" dxfId="259" priority="278" operator="lessThan">
      <formula>10</formula>
    </cfRule>
    <cfRule type="cellIs" dxfId="258" priority="279" operator="greaterThan">
      <formula>20</formula>
    </cfRule>
  </conditionalFormatting>
  <conditionalFormatting sqref="G13">
    <cfRule type="cellIs" dxfId="257" priority="276" operator="lessThan">
      <formula>10</formula>
    </cfRule>
    <cfRule type="cellIs" dxfId="256" priority="277" operator="greaterThan">
      <formula>20</formula>
    </cfRule>
  </conditionalFormatting>
  <conditionalFormatting sqref="G12 D16:E16">
    <cfRule type="cellIs" dxfId="255" priority="269" operator="greaterThan">
      <formula>80</formula>
    </cfRule>
  </conditionalFormatting>
  <conditionalFormatting sqref="G12 D16:E16">
    <cfRule type="cellIs" dxfId="254" priority="268" operator="lessThan">
      <formula>40</formula>
    </cfRule>
  </conditionalFormatting>
  <conditionalFormatting sqref="N12">
    <cfRule type="cellIs" dxfId="253" priority="267" operator="greaterThan">
      <formula>80</formula>
    </cfRule>
  </conditionalFormatting>
  <conditionalFormatting sqref="N12">
    <cfRule type="cellIs" dxfId="252" priority="266" operator="lessThan">
      <formula>40</formula>
    </cfRule>
  </conditionalFormatting>
  <conditionalFormatting sqref="G16">
    <cfRule type="cellIs" dxfId="251" priority="256" operator="lessThan">
      <formula>80</formula>
    </cfRule>
    <cfRule type="cellIs" dxfId="250" priority="257" operator="greaterThan">
      <formula>160</formula>
    </cfRule>
  </conditionalFormatting>
  <conditionalFormatting sqref="I12:I15">
    <cfRule type="cellIs" dxfId="249" priority="250" operator="lessThan">
      <formula>80</formula>
    </cfRule>
    <cfRule type="cellIs" dxfId="248" priority="251" operator="greaterThan">
      <formula>160</formula>
    </cfRule>
  </conditionalFormatting>
  <conditionalFormatting sqref="I16">
    <cfRule type="cellIs" dxfId="247" priority="248" operator="lessThan">
      <formula>160</formula>
    </cfRule>
    <cfRule type="cellIs" dxfId="246" priority="249" operator="greaterThan">
      <formula>320</formula>
    </cfRule>
  </conditionalFormatting>
  <conditionalFormatting sqref="G18:G19">
    <cfRule type="cellIs" dxfId="245" priority="240" operator="lessThan">
      <formula>10</formula>
    </cfRule>
    <cfRule type="cellIs" dxfId="244" priority="241" operator="greaterThan">
      <formula>20</formula>
    </cfRule>
  </conditionalFormatting>
  <conditionalFormatting sqref="N18:N19">
    <cfRule type="cellIs" dxfId="243" priority="236" operator="lessThan">
      <formula>10</formula>
    </cfRule>
    <cfRule type="cellIs" dxfId="242" priority="237" operator="greaterThan">
      <formula>20</formula>
    </cfRule>
  </conditionalFormatting>
  <conditionalFormatting sqref="D26:E26">
    <cfRule type="cellIs" dxfId="241" priority="216" operator="lessThan">
      <formula>15</formula>
    </cfRule>
    <cfRule type="cellIs" dxfId="240" priority="217" operator="greaterThan">
      <formula>30</formula>
    </cfRule>
  </conditionalFormatting>
  <conditionalFormatting sqref="I23:I25">
    <cfRule type="cellIs" dxfId="239" priority="212" operator="lessThan">
      <formula>20</formula>
    </cfRule>
    <cfRule type="cellIs" dxfId="238" priority="213" operator="greaterThan">
      <formula>40</formula>
    </cfRule>
  </conditionalFormatting>
  <conditionalFormatting sqref="G23:G25">
    <cfRule type="cellIs" dxfId="237" priority="206" operator="lessThan">
      <formula>10</formula>
    </cfRule>
    <cfRule type="cellIs" dxfId="236" priority="207" operator="greaterThan">
      <formula>20</formula>
    </cfRule>
  </conditionalFormatting>
  <conditionalFormatting sqref="N23:N25">
    <cfRule type="cellIs" dxfId="235" priority="204" operator="lessThan">
      <formula>10</formula>
    </cfRule>
    <cfRule type="cellIs" dxfId="234" priority="205" operator="greaterThan">
      <formula>20</formula>
    </cfRule>
  </conditionalFormatting>
  <conditionalFormatting sqref="I26">
    <cfRule type="cellIs" dxfId="233" priority="192" operator="lessThan">
      <formula>60</formula>
    </cfRule>
    <cfRule type="cellIs" dxfId="232" priority="193" operator="greaterThan">
      <formula>120</formula>
    </cfRule>
  </conditionalFormatting>
  <conditionalFormatting sqref="G26">
    <cfRule type="cellIs" dxfId="231" priority="190" operator="lessThan">
      <formula>30</formula>
    </cfRule>
    <cfRule type="cellIs" dxfId="230" priority="191" operator="greaterThan">
      <formula>60</formula>
    </cfRule>
  </conditionalFormatting>
  <conditionalFormatting sqref="D28:E28">
    <cfRule type="cellIs" dxfId="229" priority="188" operator="lessThan">
      <formula>15</formula>
    </cfRule>
    <cfRule type="cellIs" dxfId="228" priority="189" operator="greaterThan">
      <formula>30</formula>
    </cfRule>
  </conditionalFormatting>
  <conditionalFormatting sqref="K28:L28">
    <cfRule type="cellIs" dxfId="227" priority="186" operator="lessThan">
      <formula>15</formula>
    </cfRule>
    <cfRule type="cellIs" dxfId="226" priority="187" operator="greaterThan">
      <formula>30</formula>
    </cfRule>
  </conditionalFormatting>
  <conditionalFormatting sqref="G28">
    <cfRule type="cellIs" dxfId="225" priority="184" operator="lessThan">
      <formula>30</formula>
    </cfRule>
    <cfRule type="cellIs" dxfId="224" priority="185" operator="greaterThan">
      <formula>60</formula>
    </cfRule>
  </conditionalFormatting>
  <conditionalFormatting sqref="N28">
    <cfRule type="cellIs" dxfId="223" priority="182" operator="lessThan">
      <formula>30</formula>
    </cfRule>
    <cfRule type="cellIs" dxfId="222" priority="183" operator="greaterThan">
      <formula>60</formula>
    </cfRule>
  </conditionalFormatting>
  <conditionalFormatting sqref="D32:E34 D36:E36">
    <cfRule type="cellIs" dxfId="221" priority="160" operator="lessThan">
      <formula>10</formula>
    </cfRule>
    <cfRule type="cellIs" dxfId="220" priority="161" operator="greaterThan">
      <formula>20</formula>
    </cfRule>
  </conditionalFormatting>
  <conditionalFormatting sqref="K32:L34 K36:L36">
    <cfRule type="cellIs" dxfId="219" priority="158" operator="lessThan">
      <formula>10</formula>
    </cfRule>
    <cfRule type="cellIs" dxfId="218" priority="159" operator="greaterThan">
      <formula>20</formula>
    </cfRule>
  </conditionalFormatting>
  <conditionalFormatting sqref="I32:I34 I36">
    <cfRule type="cellIs" dxfId="217" priority="155" operator="greaterThan">
      <formula>80</formula>
    </cfRule>
  </conditionalFormatting>
  <conditionalFormatting sqref="I32:I34 I36">
    <cfRule type="cellIs" dxfId="216" priority="154" operator="lessThan">
      <formula>40</formula>
    </cfRule>
  </conditionalFormatting>
  <conditionalFormatting sqref="D39:E40">
    <cfRule type="cellIs" dxfId="215" priority="134" operator="lessThan">
      <formula>10</formula>
    </cfRule>
    <cfRule type="cellIs" dxfId="214" priority="135" operator="greaterThan">
      <formula>20</formula>
    </cfRule>
  </conditionalFormatting>
  <conditionalFormatting sqref="D41:E41">
    <cfRule type="cellIs" dxfId="213" priority="132" operator="lessThan">
      <formula>20</formula>
    </cfRule>
    <cfRule type="cellIs" dxfId="212" priority="133" operator="greaterThan">
      <formula>40</formula>
    </cfRule>
  </conditionalFormatting>
  <conditionalFormatting sqref="G39:G40">
    <cfRule type="cellIs" dxfId="211" priority="130" operator="lessThan">
      <formula>20</formula>
    </cfRule>
    <cfRule type="cellIs" dxfId="210" priority="131" operator="greaterThan">
      <formula>40</formula>
    </cfRule>
  </conditionalFormatting>
  <conditionalFormatting sqref="G41">
    <cfRule type="cellIs" dxfId="209" priority="129" operator="greaterThan">
      <formula>80</formula>
    </cfRule>
  </conditionalFormatting>
  <conditionalFormatting sqref="G41">
    <cfRule type="cellIs" dxfId="208" priority="128" operator="lessThan">
      <formula>40</formula>
    </cfRule>
  </conditionalFormatting>
  <conditionalFormatting sqref="I39:I40">
    <cfRule type="cellIs" dxfId="207" priority="127" operator="greaterThan">
      <formula>80</formula>
    </cfRule>
  </conditionalFormatting>
  <conditionalFormatting sqref="I39:I40">
    <cfRule type="cellIs" dxfId="206" priority="126" operator="lessThan">
      <formula>40</formula>
    </cfRule>
  </conditionalFormatting>
  <conditionalFormatting sqref="I41">
    <cfRule type="cellIs" dxfId="205" priority="124" operator="lessThan">
      <formula>80</formula>
    </cfRule>
    <cfRule type="cellIs" dxfId="204" priority="125" operator="greaterThan">
      <formula>160</formula>
    </cfRule>
  </conditionalFormatting>
  <conditionalFormatting sqref="K39:L40">
    <cfRule type="cellIs" dxfId="203" priority="122" operator="lessThan">
      <formula>10</formula>
    </cfRule>
    <cfRule type="cellIs" dxfId="202" priority="123" operator="greaterThan">
      <formula>20</formula>
    </cfRule>
  </conditionalFormatting>
  <conditionalFormatting sqref="N39:N40">
    <cfRule type="cellIs" dxfId="201" priority="118" operator="lessThan">
      <formula>20</formula>
    </cfRule>
    <cfRule type="cellIs" dxfId="200" priority="119" operator="greaterThan">
      <formula>40</formula>
    </cfRule>
  </conditionalFormatting>
  <conditionalFormatting sqref="D43:E44">
    <cfRule type="cellIs" dxfId="199" priority="106" operator="lessThan">
      <formula>10</formula>
    </cfRule>
    <cfRule type="cellIs" dxfId="198" priority="107" operator="greaterThan">
      <formula>20</formula>
    </cfRule>
  </conditionalFormatting>
  <conditionalFormatting sqref="K43:L43">
    <cfRule type="cellIs" dxfId="197" priority="104" operator="lessThan">
      <formula>10</formula>
    </cfRule>
    <cfRule type="cellIs" dxfId="196" priority="105" operator="greaterThan">
      <formula>20</formula>
    </cfRule>
  </conditionalFormatting>
  <conditionalFormatting sqref="N43">
    <cfRule type="cellIs" dxfId="195" priority="102" operator="lessThan">
      <formula>20</formula>
    </cfRule>
    <cfRule type="cellIs" dxfId="194" priority="103" operator="greaterThan">
      <formula>40</formula>
    </cfRule>
  </conditionalFormatting>
  <conditionalFormatting sqref="I44">
    <cfRule type="cellIs" dxfId="193" priority="101" operator="greaterThan">
      <formula>80</formula>
    </cfRule>
  </conditionalFormatting>
  <conditionalFormatting sqref="I44">
    <cfRule type="cellIs" dxfId="192" priority="100" operator="lessThan">
      <formula>40</formula>
    </cfRule>
  </conditionalFormatting>
  <conditionalFormatting sqref="D46:E46">
    <cfRule type="cellIs" dxfId="191" priority="92" operator="lessThan">
      <formula>200</formula>
    </cfRule>
    <cfRule type="cellIs" dxfId="190" priority="93" operator="greaterThan">
      <formula>400</formula>
    </cfRule>
  </conditionalFormatting>
  <conditionalFormatting sqref="G46">
    <cfRule type="cellIs" dxfId="189" priority="90" operator="lessThan">
      <formula>400</formula>
    </cfRule>
    <cfRule type="cellIs" dxfId="188" priority="91" operator="greaterThan">
      <formula>800</formula>
    </cfRule>
  </conditionalFormatting>
  <conditionalFormatting sqref="I46">
    <cfRule type="cellIs" dxfId="187" priority="88" operator="lessThan">
      <formula>800</formula>
    </cfRule>
    <cfRule type="cellIs" dxfId="186" priority="89" operator="greaterThan">
      <formula>1600</formula>
    </cfRule>
  </conditionalFormatting>
  <conditionalFormatting sqref="D47:E47 G47 I47">
    <cfRule type="cellIs" dxfId="185" priority="81" operator="greaterThan">
      <formula>100</formula>
    </cfRule>
  </conditionalFormatting>
  <conditionalFormatting sqref="D47:E47 G47 I47">
    <cfRule type="cellIs" dxfId="184" priority="80" operator="lessThan">
      <formula>50</formula>
    </cfRule>
  </conditionalFormatting>
  <conditionalFormatting sqref="D20:E20">
    <cfRule type="cellIs" dxfId="183" priority="78" operator="lessThan">
      <formula>10</formula>
    </cfRule>
    <cfRule type="cellIs" dxfId="182" priority="79" operator="greaterThan">
      <formula>20</formula>
    </cfRule>
  </conditionalFormatting>
  <conditionalFormatting sqref="K20:L20">
    <cfRule type="cellIs" dxfId="181" priority="76" operator="lessThan">
      <formula>10</formula>
    </cfRule>
    <cfRule type="cellIs" dxfId="180" priority="77" operator="greaterThan">
      <formula>20</formula>
    </cfRule>
  </conditionalFormatting>
  <conditionalFormatting sqref="G20">
    <cfRule type="cellIs" dxfId="179" priority="74" operator="lessThan">
      <formula>20</formula>
    </cfRule>
    <cfRule type="cellIs" dxfId="178" priority="75" operator="greaterThan">
      <formula>40</formula>
    </cfRule>
  </conditionalFormatting>
  <conditionalFormatting sqref="N20">
    <cfRule type="cellIs" dxfId="177" priority="72" operator="lessThan">
      <formula>20</formula>
    </cfRule>
    <cfRule type="cellIs" dxfId="176" priority="73" operator="greaterThan">
      <formula>40</formula>
    </cfRule>
  </conditionalFormatting>
  <conditionalFormatting sqref="D21:E21">
    <cfRule type="cellIs" dxfId="175" priority="64" operator="lessThan">
      <formula>20</formula>
    </cfRule>
    <cfRule type="cellIs" dxfId="174" priority="65" operator="greaterThan">
      <formula>40</formula>
    </cfRule>
  </conditionalFormatting>
  <conditionalFormatting sqref="G21">
    <cfRule type="cellIs" dxfId="173" priority="63" operator="greaterThan">
      <formula>80</formula>
    </cfRule>
  </conditionalFormatting>
  <conditionalFormatting sqref="G21">
    <cfRule type="cellIs" dxfId="172" priority="62" operator="lessThan">
      <formula>40</formula>
    </cfRule>
  </conditionalFormatting>
  <conditionalFormatting sqref="I21">
    <cfRule type="cellIs" dxfId="171" priority="60" operator="lessThan">
      <formula>80</formula>
    </cfRule>
    <cfRule type="cellIs" dxfId="170" priority="61" operator="greaterThan">
      <formula>160</formula>
    </cfRule>
  </conditionalFormatting>
  <conditionalFormatting sqref="D29:E29 K29:L29">
    <cfRule type="cellIs" dxfId="169" priority="50" operator="lessThan">
      <formula>25</formula>
    </cfRule>
    <cfRule type="cellIs" dxfId="168" priority="51" operator="greaterThan">
      <formula>50</formula>
    </cfRule>
  </conditionalFormatting>
  <conditionalFormatting sqref="G29">
    <cfRule type="cellIs" dxfId="167" priority="48" operator="lessThan">
      <formula>50</formula>
    </cfRule>
    <cfRule type="cellIs" dxfId="166" priority="49" operator="greaterThan">
      <formula>100</formula>
    </cfRule>
  </conditionalFormatting>
  <conditionalFormatting sqref="N29">
    <cfRule type="cellIs" dxfId="165" priority="46" operator="lessThan">
      <formula>50</formula>
    </cfRule>
    <cfRule type="cellIs" dxfId="164" priority="47" operator="greaterThan">
      <formula>100</formula>
    </cfRule>
  </conditionalFormatting>
  <conditionalFormatting sqref="I29">
    <cfRule type="cellIs" dxfId="163" priority="42" operator="lessThan">
      <formula>100</formula>
    </cfRule>
    <cfRule type="cellIs" dxfId="162" priority="43" operator="greaterThan">
      <formula>200</formula>
    </cfRule>
  </conditionalFormatting>
  <conditionalFormatting sqref="D30:E30">
    <cfRule type="cellIs" dxfId="161" priority="39" operator="greaterThan">
      <formula>80</formula>
    </cfRule>
  </conditionalFormatting>
  <conditionalFormatting sqref="D30:E30">
    <cfRule type="cellIs" dxfId="160" priority="38" operator="lessThan">
      <formula>40</formula>
    </cfRule>
  </conditionalFormatting>
  <conditionalFormatting sqref="G30">
    <cfRule type="cellIs" dxfId="159" priority="34" operator="lessThan">
      <formula>80</formula>
    </cfRule>
    <cfRule type="cellIs" dxfId="158" priority="35" operator="greaterThan">
      <formula>160</formula>
    </cfRule>
  </conditionalFormatting>
  <conditionalFormatting sqref="I30">
    <cfRule type="cellIs" dxfId="157" priority="30" operator="lessThan">
      <formula>160</formula>
    </cfRule>
    <cfRule type="cellIs" dxfId="156" priority="31" operator="greaterThan">
      <formula>320</formula>
    </cfRule>
  </conditionalFormatting>
  <conditionalFormatting sqref="D35:E35">
    <cfRule type="cellIs" dxfId="155" priority="24" operator="lessThan">
      <formula>15</formula>
    </cfRule>
    <cfRule type="cellIs" dxfId="154" priority="25" operator="greaterThan">
      <formula>30</formula>
    </cfRule>
  </conditionalFormatting>
  <conditionalFormatting sqref="K35:L35">
    <cfRule type="cellIs" dxfId="153" priority="22" operator="lessThan">
      <formula>15</formula>
    </cfRule>
    <cfRule type="cellIs" dxfId="152" priority="23" operator="greaterThan">
      <formula>30</formula>
    </cfRule>
  </conditionalFormatting>
  <conditionalFormatting sqref="G35">
    <cfRule type="cellIs" dxfId="151" priority="20" operator="lessThan">
      <formula>30</formula>
    </cfRule>
    <cfRule type="cellIs" dxfId="150" priority="21" operator="greaterThan">
      <formula>60</formula>
    </cfRule>
  </conditionalFormatting>
  <conditionalFormatting sqref="N35">
    <cfRule type="cellIs" dxfId="149" priority="18" operator="lessThan">
      <formula>30</formula>
    </cfRule>
    <cfRule type="cellIs" dxfId="148" priority="19" operator="greaterThan">
      <formula>60</formula>
    </cfRule>
  </conditionalFormatting>
  <conditionalFormatting sqref="I35">
    <cfRule type="cellIs" dxfId="147" priority="16" operator="lessThan">
      <formula>60</formula>
    </cfRule>
    <cfRule type="cellIs" dxfId="146" priority="17" operator="greaterThan">
      <formula>120</formula>
    </cfRule>
  </conditionalFormatting>
  <conditionalFormatting sqref="I28">
    <cfRule type="cellIs" dxfId="145" priority="8" operator="lessThan">
      <formula>60</formula>
    </cfRule>
    <cfRule type="cellIs" dxfId="144" priority="9" operator="greaterThan">
      <formula>120</formula>
    </cfRule>
  </conditionalFormatting>
  <conditionalFormatting sqref="I43">
    <cfRule type="cellIs" dxfId="143" priority="7" operator="greaterThan">
      <formula>80</formula>
    </cfRule>
  </conditionalFormatting>
  <conditionalFormatting sqref="I43">
    <cfRule type="cellIs" dxfId="142" priority="6" operator="lessThan">
      <formula>40</formula>
    </cfRule>
  </conditionalFormatting>
  <conditionalFormatting sqref="I18:I20">
    <cfRule type="cellIs" dxfId="141" priority="4" operator="lessThan">
      <formula>80</formula>
    </cfRule>
    <cfRule type="cellIs" dxfId="140" priority="5" operator="greaterThan">
      <formula>160</formula>
    </cfRule>
  </conditionalFormatting>
  <conditionalFormatting sqref="D37:E37">
    <cfRule type="cellIs" dxfId="139" priority="3" operator="lessThan">
      <formula>50</formula>
    </cfRule>
  </conditionalFormatting>
  <conditionalFormatting sqref="G37">
    <cfRule type="cellIs" dxfId="138" priority="2" operator="lessThan">
      <formula>100</formula>
    </cfRule>
  </conditionalFormatting>
  <conditionalFormatting sqref="I37">
    <cfRule type="cellIs" dxfId="137" priority="1" operator="lessThan">
      <formula>200</formula>
    </cfRule>
  </conditionalFormatting>
  <pageMargins left="0.14583333333333334" right="0" top="0.09" bottom="0" header="0.19685039370078741" footer="0.19685039370078741"/>
  <pageSetup paperSize="9" orientation="portrait" r:id="rId1"/>
  <ignoredErrors>
    <ignoredError sqref="P23:P25 P28:P29 P32 P39:P4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pageSetUpPr fitToPage="1"/>
  </sheetPr>
  <dimension ref="A1:AG76"/>
  <sheetViews>
    <sheetView topLeftCell="B1" workbookViewId="0">
      <selection activeCell="G5" sqref="G5"/>
    </sheetView>
  </sheetViews>
  <sheetFormatPr baseColWidth="10" defaultColWidth="11.42578125" defaultRowHeight="15.75" x14ac:dyDescent="0.25"/>
  <cols>
    <col min="1" max="1" width="4.85546875" style="1" customWidth="1"/>
    <col min="2" max="2" width="21.28515625" style="1" customWidth="1"/>
    <col min="3" max="3" width="20.5703125" style="1" customWidth="1"/>
    <col min="4" max="23" width="8.42578125" style="1" customWidth="1"/>
    <col min="24" max="25" width="5.85546875" style="1" customWidth="1"/>
    <col min="26" max="27" width="5.28515625" style="1" customWidth="1"/>
    <col min="28" max="28" width="5.5703125" style="1" customWidth="1"/>
    <col min="29" max="29" width="6" style="1" customWidth="1"/>
    <col min="30" max="32" width="5.85546875" style="1" customWidth="1"/>
    <col min="33" max="33" width="6.28515625" style="1" customWidth="1"/>
    <col min="34" max="16384" width="11.42578125" style="1"/>
  </cols>
  <sheetData>
    <row r="1" spans="1:33" ht="46.5" customHeight="1" x14ac:dyDescent="0.5">
      <c r="B1" s="11"/>
      <c r="C1" s="203" t="s">
        <v>43</v>
      </c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4.5" customHeight="1" x14ac:dyDescent="0.25">
      <c r="B2" s="204"/>
      <c r="C2" s="205"/>
      <c r="D2" s="6" t="s">
        <v>18</v>
      </c>
      <c r="E2" s="6" t="s">
        <v>19</v>
      </c>
      <c r="F2" s="6" t="s">
        <v>20</v>
      </c>
      <c r="G2" s="6" t="s">
        <v>44</v>
      </c>
      <c r="H2" s="6" t="s">
        <v>23</v>
      </c>
      <c r="I2" s="6" t="s">
        <v>45</v>
      </c>
      <c r="J2" s="6" t="s">
        <v>25</v>
      </c>
      <c r="K2" s="6" t="s">
        <v>27</v>
      </c>
      <c r="L2" s="6" t="s">
        <v>28</v>
      </c>
      <c r="M2" s="7" t="s">
        <v>46</v>
      </c>
      <c r="N2" s="7" t="s">
        <v>31</v>
      </c>
      <c r="O2" s="7" t="s">
        <v>13</v>
      </c>
      <c r="P2" s="7" t="s">
        <v>47</v>
      </c>
      <c r="Q2" s="7" t="s">
        <v>48</v>
      </c>
      <c r="R2" s="7" t="s">
        <v>49</v>
      </c>
      <c r="S2" s="7" t="s">
        <v>32</v>
      </c>
      <c r="T2" s="7" t="s">
        <v>33</v>
      </c>
      <c r="U2" s="7" t="s">
        <v>35</v>
      </c>
      <c r="V2" s="7" t="s">
        <v>36</v>
      </c>
      <c r="W2" s="7" t="s">
        <v>38</v>
      </c>
      <c r="X2" s="3"/>
      <c r="Y2" s="9"/>
      <c r="Z2" s="3"/>
      <c r="AA2" s="3"/>
      <c r="AB2" s="3"/>
      <c r="AC2" s="3"/>
      <c r="AD2" s="3"/>
      <c r="AE2" s="3"/>
      <c r="AF2" s="3"/>
      <c r="AG2" s="3"/>
    </row>
    <row r="3" spans="1:33" s="3" customFormat="1" ht="20.25" customHeight="1" thickBot="1" x14ac:dyDescent="0.35">
      <c r="A3" s="3" t="s">
        <v>231</v>
      </c>
      <c r="B3" s="10" t="s">
        <v>7</v>
      </c>
      <c r="C3" s="8" t="s">
        <v>6</v>
      </c>
      <c r="D3" s="81" t="s">
        <v>58</v>
      </c>
      <c r="E3" s="81" t="s">
        <v>59</v>
      </c>
      <c r="F3" s="81" t="s">
        <v>60</v>
      </c>
      <c r="G3" s="81" t="s">
        <v>61</v>
      </c>
      <c r="H3" s="81" t="s">
        <v>62</v>
      </c>
      <c r="I3" s="81" t="s">
        <v>63</v>
      </c>
      <c r="J3" s="81" t="s">
        <v>64</v>
      </c>
      <c r="K3" s="81" t="s">
        <v>65</v>
      </c>
      <c r="L3" s="81" t="s">
        <v>66</v>
      </c>
      <c r="M3" s="81" t="s">
        <v>67</v>
      </c>
      <c r="N3" s="81" t="s">
        <v>68</v>
      </c>
      <c r="O3" s="81" t="s">
        <v>69</v>
      </c>
      <c r="P3" s="81" t="s">
        <v>77</v>
      </c>
      <c r="Q3" s="81" t="s">
        <v>79</v>
      </c>
      <c r="R3" s="81" t="s">
        <v>80</v>
      </c>
      <c r="S3" s="81" t="s">
        <v>81</v>
      </c>
      <c r="T3" s="81" t="s">
        <v>70</v>
      </c>
      <c r="U3" s="81" t="s">
        <v>82</v>
      </c>
      <c r="V3" s="81" t="s">
        <v>83</v>
      </c>
      <c r="W3" s="81" t="s">
        <v>84</v>
      </c>
    </row>
    <row r="4" spans="1:33" s="3" customFormat="1" ht="20.25" customHeight="1" x14ac:dyDescent="0.25">
      <c r="A4" s="3">
        <v>1</v>
      </c>
      <c r="B4" s="82" t="s">
        <v>99</v>
      </c>
      <c r="C4" s="1" t="s">
        <v>100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3" s="3" customFormat="1" ht="20.25" customHeight="1" x14ac:dyDescent="0.25">
      <c r="A5" s="3">
        <f>A4+1</f>
        <v>2</v>
      </c>
      <c r="B5" s="82" t="s">
        <v>101</v>
      </c>
      <c r="C5" s="1" t="s">
        <v>102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33" s="3" customFormat="1" ht="20.25" customHeight="1" x14ac:dyDescent="0.25">
      <c r="A6" s="3">
        <f t="shared" ref="A6:A69" si="0">A5+1</f>
        <v>3</v>
      </c>
      <c r="B6" s="82" t="s">
        <v>50</v>
      </c>
      <c r="C6" s="82" t="s">
        <v>103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33" s="3" customFormat="1" ht="20.25" customHeight="1" x14ac:dyDescent="0.25">
      <c r="A7" s="3">
        <f t="shared" si="0"/>
        <v>4</v>
      </c>
      <c r="B7" s="82" t="s">
        <v>104</v>
      </c>
      <c r="C7" s="82" t="s">
        <v>105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33" s="3" customFormat="1" ht="20.25" customHeight="1" x14ac:dyDescent="0.25">
      <c r="A8" s="3">
        <f t="shared" si="0"/>
        <v>5</v>
      </c>
      <c r="B8" s="82" t="s">
        <v>106</v>
      </c>
      <c r="C8" s="82" t="s">
        <v>107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33" s="3" customFormat="1" ht="20.25" customHeight="1" x14ac:dyDescent="0.25">
      <c r="A9" s="3">
        <f t="shared" si="0"/>
        <v>6</v>
      </c>
      <c r="B9" s="82" t="s">
        <v>108</v>
      </c>
      <c r="C9" s="82" t="s">
        <v>109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33" s="3" customFormat="1" ht="20.25" customHeight="1" x14ac:dyDescent="0.25">
      <c r="A10" s="3">
        <f t="shared" si="0"/>
        <v>7</v>
      </c>
      <c r="B10" s="82" t="s">
        <v>110</v>
      </c>
      <c r="C10" s="82" t="s">
        <v>111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33" s="3" customFormat="1" ht="20.25" customHeight="1" x14ac:dyDescent="0.25">
      <c r="A11" s="3">
        <f t="shared" si="0"/>
        <v>8</v>
      </c>
      <c r="B11" s="82" t="s">
        <v>112</v>
      </c>
      <c r="C11" s="82" t="s">
        <v>113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33" s="3" customFormat="1" ht="20.25" customHeight="1" x14ac:dyDescent="0.25">
      <c r="A12" s="3">
        <f t="shared" si="0"/>
        <v>9</v>
      </c>
      <c r="B12" s="82" t="s">
        <v>114</v>
      </c>
      <c r="C12" s="82" t="s">
        <v>115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33" s="3" customFormat="1" ht="20.25" customHeight="1" x14ac:dyDescent="0.25">
      <c r="A13" s="3">
        <f t="shared" si="0"/>
        <v>10</v>
      </c>
      <c r="B13" s="82" t="s">
        <v>116</v>
      </c>
      <c r="C13" s="82" t="s">
        <v>117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33" s="3" customFormat="1" ht="20.25" customHeight="1" x14ac:dyDescent="0.25">
      <c r="A14" s="3">
        <f t="shared" si="0"/>
        <v>11</v>
      </c>
      <c r="B14" s="82" t="s">
        <v>118</v>
      </c>
      <c r="C14" s="82" t="s">
        <v>119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33" s="3" customFormat="1" ht="20.25" customHeight="1" x14ac:dyDescent="0.25">
      <c r="A15" s="3">
        <f t="shared" si="0"/>
        <v>12</v>
      </c>
      <c r="B15" s="82" t="s">
        <v>120</v>
      </c>
      <c r="C15" s="82" t="s">
        <v>121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33" s="3" customFormat="1" ht="20.25" customHeight="1" x14ac:dyDescent="0.25">
      <c r="A16" s="3">
        <f t="shared" si="0"/>
        <v>13</v>
      </c>
      <c r="B16" s="82" t="s">
        <v>122</v>
      </c>
      <c r="C16" s="82" t="s">
        <v>123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s="3" customFormat="1" ht="20.25" customHeight="1" x14ac:dyDescent="0.25">
      <c r="A17" s="3">
        <f t="shared" si="0"/>
        <v>14</v>
      </c>
      <c r="B17" s="82" t="s">
        <v>124</v>
      </c>
      <c r="C17" s="82" t="s">
        <v>125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s="3" customFormat="1" ht="20.25" customHeight="1" x14ac:dyDescent="0.25">
      <c r="A18" s="3">
        <f t="shared" si="0"/>
        <v>15</v>
      </c>
      <c r="B18" s="82" t="s">
        <v>126</v>
      </c>
      <c r="C18" s="82" t="s">
        <v>127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s="3" customFormat="1" ht="20.25" customHeight="1" x14ac:dyDescent="0.25">
      <c r="A19" s="3">
        <f t="shared" si="0"/>
        <v>16</v>
      </c>
      <c r="B19" s="82" t="s">
        <v>128</v>
      </c>
      <c r="C19" s="82" t="s">
        <v>129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s="3" customFormat="1" ht="20.25" customHeight="1" x14ac:dyDescent="0.25">
      <c r="A20" s="3">
        <f t="shared" si="0"/>
        <v>17</v>
      </c>
      <c r="B20" s="82" t="s">
        <v>130</v>
      </c>
      <c r="C20" s="82" t="s">
        <v>131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s="3" customFormat="1" ht="20.25" customHeight="1" x14ac:dyDescent="0.25">
      <c r="A21" s="3">
        <f t="shared" si="0"/>
        <v>18</v>
      </c>
      <c r="B21" s="82" t="s">
        <v>132</v>
      </c>
      <c r="C21" s="82" t="s">
        <v>133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s="3" customFormat="1" ht="20.25" customHeight="1" x14ac:dyDescent="0.25">
      <c r="A22" s="3">
        <f t="shared" si="0"/>
        <v>19</v>
      </c>
      <c r="B22" s="82" t="s">
        <v>134</v>
      </c>
      <c r="C22" s="82" t="s">
        <v>135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s="3" customFormat="1" ht="20.25" customHeight="1" x14ac:dyDescent="0.25">
      <c r="A23" s="3">
        <f t="shared" si="0"/>
        <v>20</v>
      </c>
      <c r="B23" s="82" t="s">
        <v>136</v>
      </c>
      <c r="C23" s="82" t="s">
        <v>137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s="3" customFormat="1" ht="20.25" customHeight="1" x14ac:dyDescent="0.25">
      <c r="A24" s="3">
        <f t="shared" si="0"/>
        <v>21</v>
      </c>
      <c r="B24" s="82" t="s">
        <v>138</v>
      </c>
      <c r="C24" s="82" t="s">
        <v>139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s="3" customFormat="1" ht="20.25" customHeight="1" x14ac:dyDescent="0.25">
      <c r="A25" s="3">
        <f t="shared" si="0"/>
        <v>22</v>
      </c>
      <c r="B25" s="82" t="s">
        <v>140</v>
      </c>
      <c r="C25" s="82" t="s">
        <v>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s="3" customFormat="1" ht="20.25" customHeight="1" x14ac:dyDescent="0.25">
      <c r="A26" s="3">
        <f t="shared" si="0"/>
        <v>23</v>
      </c>
      <c r="B26" s="82" t="s">
        <v>141</v>
      </c>
      <c r="C26" s="82" t="s">
        <v>142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3" customFormat="1" ht="20.25" customHeight="1" x14ac:dyDescent="0.25">
      <c r="A27" s="3">
        <f t="shared" si="0"/>
        <v>24</v>
      </c>
      <c r="B27" s="82" t="s">
        <v>143</v>
      </c>
      <c r="C27" s="82" t="s">
        <v>144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3" customFormat="1" ht="20.25" customHeight="1" x14ac:dyDescent="0.25">
      <c r="A28" s="3">
        <f t="shared" si="0"/>
        <v>25</v>
      </c>
      <c r="B28" s="82" t="s">
        <v>145</v>
      </c>
      <c r="C28" s="82" t="s">
        <v>146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s="3" customFormat="1" ht="20.25" customHeight="1" x14ac:dyDescent="0.25">
      <c r="A29" s="3">
        <f t="shared" si="0"/>
        <v>26</v>
      </c>
      <c r="B29" s="82" t="s">
        <v>147</v>
      </c>
      <c r="C29" s="82" t="s">
        <v>148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s="3" customFormat="1" ht="20.25" customHeight="1" x14ac:dyDescent="0.25">
      <c r="A30" s="3">
        <f t="shared" si="0"/>
        <v>27</v>
      </c>
      <c r="B30" s="82" t="s">
        <v>149</v>
      </c>
      <c r="C30" s="82" t="s">
        <v>150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s="3" customFormat="1" ht="20.25" customHeight="1" x14ac:dyDescent="0.25">
      <c r="A31" s="3">
        <f t="shared" si="0"/>
        <v>28</v>
      </c>
      <c r="B31" s="82" t="s">
        <v>151</v>
      </c>
      <c r="C31" s="82" t="s">
        <v>152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s="3" customFormat="1" ht="20.25" customHeight="1" x14ac:dyDescent="0.25">
      <c r="A32" s="3">
        <f t="shared" si="0"/>
        <v>29</v>
      </c>
      <c r="B32" s="82" t="s">
        <v>53</v>
      </c>
      <c r="C32" s="82" t="s">
        <v>153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s="3" customFormat="1" ht="20.25" customHeight="1" x14ac:dyDescent="0.25">
      <c r="A33" s="3">
        <f t="shared" si="0"/>
        <v>30</v>
      </c>
      <c r="B33" s="82" t="s">
        <v>154</v>
      </c>
      <c r="C33" s="82" t="s">
        <v>155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s="3" customFormat="1" ht="20.25" customHeight="1" x14ac:dyDescent="0.25">
      <c r="A34" s="3">
        <f t="shared" si="0"/>
        <v>31</v>
      </c>
      <c r="B34" s="82" t="s">
        <v>156</v>
      </c>
      <c r="C34" s="82" t="s">
        <v>157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s="3" customFormat="1" ht="20.25" customHeight="1" x14ac:dyDescent="0.25">
      <c r="A35" s="3">
        <f t="shared" si="0"/>
        <v>32</v>
      </c>
      <c r="B35" s="82" t="s">
        <v>158</v>
      </c>
      <c r="C35" s="82" t="s">
        <v>159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s="3" customFormat="1" ht="20.25" customHeight="1" x14ac:dyDescent="0.25">
      <c r="A36" s="3">
        <f t="shared" si="0"/>
        <v>33</v>
      </c>
      <c r="B36" s="82" t="s">
        <v>160</v>
      </c>
      <c r="C36" s="82" t="s">
        <v>161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s="3" customFormat="1" ht="20.25" customHeight="1" x14ac:dyDescent="0.25">
      <c r="A37" s="3">
        <f t="shared" si="0"/>
        <v>34</v>
      </c>
      <c r="B37" s="82" t="s">
        <v>54</v>
      </c>
      <c r="C37" s="82" t="s">
        <v>162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3" customFormat="1" ht="20.25" customHeight="1" x14ac:dyDescent="0.25">
      <c r="A38" s="3">
        <f t="shared" si="0"/>
        <v>35</v>
      </c>
      <c r="B38" s="82" t="s">
        <v>163</v>
      </c>
      <c r="C38" s="82" t="s">
        <v>164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s="3" customFormat="1" ht="20.25" customHeight="1" x14ac:dyDescent="0.25">
      <c r="A39" s="3">
        <f t="shared" si="0"/>
        <v>36</v>
      </c>
      <c r="B39" s="82" t="s">
        <v>165</v>
      </c>
      <c r="C39" s="82" t="s">
        <v>166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s="3" customFormat="1" ht="20.25" customHeight="1" x14ac:dyDescent="0.25">
      <c r="A40" s="3">
        <f t="shared" si="0"/>
        <v>37</v>
      </c>
      <c r="B40" s="82" t="s">
        <v>167</v>
      </c>
      <c r="C40" s="82" t="s">
        <v>168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s="3" customFormat="1" ht="20.25" customHeight="1" x14ac:dyDescent="0.25">
      <c r="A41" s="3">
        <f t="shared" si="0"/>
        <v>38</v>
      </c>
      <c r="B41" s="82" t="s">
        <v>169</v>
      </c>
      <c r="C41" s="82" t="s">
        <v>170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s="3" customFormat="1" ht="20.25" customHeight="1" x14ac:dyDescent="0.25">
      <c r="A42" s="3">
        <f t="shared" si="0"/>
        <v>39</v>
      </c>
      <c r="B42" s="82" t="s">
        <v>171</v>
      </c>
      <c r="C42" s="82" t="s">
        <v>172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s="3" customFormat="1" ht="20.25" customHeight="1" x14ac:dyDescent="0.25">
      <c r="A43" s="3">
        <f t="shared" si="0"/>
        <v>40</v>
      </c>
      <c r="B43" s="82" t="s">
        <v>56</v>
      </c>
      <c r="C43" s="82" t="s">
        <v>173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s="3" customFormat="1" ht="20.25" customHeight="1" x14ac:dyDescent="0.25">
      <c r="A44" s="3">
        <f t="shared" si="0"/>
        <v>41</v>
      </c>
      <c r="B44" s="82" t="s">
        <v>174</v>
      </c>
      <c r="C44" s="82" t="s">
        <v>52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s="3" customFormat="1" ht="20.25" customHeight="1" x14ac:dyDescent="0.25">
      <c r="A45" s="3">
        <f t="shared" si="0"/>
        <v>42</v>
      </c>
      <c r="B45" s="82" t="s">
        <v>175</v>
      </c>
      <c r="C45" s="82" t="s">
        <v>176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s="3" customFormat="1" ht="20.25" customHeight="1" x14ac:dyDescent="0.25">
      <c r="A46" s="3">
        <f t="shared" si="0"/>
        <v>43</v>
      </c>
      <c r="B46" s="82" t="s">
        <v>177</v>
      </c>
      <c r="C46" s="82" t="s">
        <v>178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s="3" customFormat="1" ht="20.25" customHeight="1" x14ac:dyDescent="0.25">
      <c r="A47" s="3">
        <f t="shared" si="0"/>
        <v>44</v>
      </c>
      <c r="B47" s="82" t="s">
        <v>111</v>
      </c>
      <c r="C47" s="82" t="s">
        <v>179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s="3" customFormat="1" ht="20.25" customHeight="1" x14ac:dyDescent="0.25">
      <c r="A48" s="3">
        <f t="shared" si="0"/>
        <v>45</v>
      </c>
      <c r="B48" s="82" t="s">
        <v>180</v>
      </c>
      <c r="C48" s="82" t="s">
        <v>181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s="3" customFormat="1" ht="20.25" customHeight="1" x14ac:dyDescent="0.25">
      <c r="A49" s="3">
        <f t="shared" si="0"/>
        <v>46</v>
      </c>
      <c r="B49" s="82" t="s">
        <v>182</v>
      </c>
      <c r="C49" s="82" t="s">
        <v>183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s="3" customFormat="1" ht="20.25" customHeight="1" x14ac:dyDescent="0.25">
      <c r="A50" s="3">
        <f t="shared" si="0"/>
        <v>47</v>
      </c>
      <c r="B50" s="82" t="s">
        <v>184</v>
      </c>
      <c r="C50" s="82" t="s">
        <v>185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s="3" customFormat="1" ht="20.25" customHeight="1" x14ac:dyDescent="0.25">
      <c r="A51" s="3">
        <f t="shared" si="0"/>
        <v>48</v>
      </c>
      <c r="B51" s="82" t="s">
        <v>186</v>
      </c>
      <c r="C51" s="82" t="s">
        <v>187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s="3" customFormat="1" ht="20.25" customHeight="1" x14ac:dyDescent="0.25">
      <c r="A52" s="3">
        <f t="shared" si="0"/>
        <v>49</v>
      </c>
      <c r="B52" s="82" t="s">
        <v>188</v>
      </c>
      <c r="C52" s="82" t="s">
        <v>189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s="3" customFormat="1" ht="20.25" customHeight="1" x14ac:dyDescent="0.25">
      <c r="A53" s="3">
        <f t="shared" si="0"/>
        <v>50</v>
      </c>
      <c r="B53" s="82" t="s">
        <v>190</v>
      </c>
      <c r="C53" s="82" t="s">
        <v>191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s="3" customFormat="1" ht="20.25" customHeight="1" x14ac:dyDescent="0.25">
      <c r="A54" s="3">
        <f t="shared" si="0"/>
        <v>51</v>
      </c>
      <c r="B54" s="82" t="s">
        <v>192</v>
      </c>
      <c r="C54" s="82" t="s">
        <v>193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s="3" customFormat="1" ht="20.25" customHeight="1" x14ac:dyDescent="0.25">
      <c r="A55" s="3">
        <f t="shared" si="0"/>
        <v>52</v>
      </c>
      <c r="B55" s="82" t="s">
        <v>194</v>
      </c>
      <c r="C55" s="82" t="s">
        <v>12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3" customFormat="1" ht="20.25" customHeight="1" x14ac:dyDescent="0.25">
      <c r="A56" s="3">
        <f t="shared" si="0"/>
        <v>53</v>
      </c>
      <c r="B56" s="82" t="s">
        <v>51</v>
      </c>
      <c r="C56" s="82" t="s">
        <v>195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3" customFormat="1" ht="19.5" customHeight="1" x14ac:dyDescent="0.25">
      <c r="A57" s="3">
        <f t="shared" si="0"/>
        <v>54</v>
      </c>
      <c r="B57" s="82" t="s">
        <v>196</v>
      </c>
      <c r="C57" s="82" t="s">
        <v>197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s="3" customFormat="1" x14ac:dyDescent="0.25">
      <c r="A58" s="3">
        <f t="shared" si="0"/>
        <v>55</v>
      </c>
      <c r="B58" s="82" t="s">
        <v>198</v>
      </c>
      <c r="C58" s="82" t="s">
        <v>199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3" customFormat="1" x14ac:dyDescent="0.25">
      <c r="A59" s="3">
        <f t="shared" si="0"/>
        <v>56</v>
      </c>
      <c r="B59" s="82" t="s">
        <v>200</v>
      </c>
      <c r="C59" s="82" t="s">
        <v>201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s="3" customFormat="1" x14ac:dyDescent="0.25">
      <c r="A60" s="3">
        <f t="shared" si="0"/>
        <v>57</v>
      </c>
      <c r="B60" s="82" t="s">
        <v>202</v>
      </c>
      <c r="C60" s="82" t="s">
        <v>203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s="3" customFormat="1" x14ac:dyDescent="0.25">
      <c r="A61" s="3">
        <f t="shared" si="0"/>
        <v>58</v>
      </c>
      <c r="B61" s="82" t="s">
        <v>204</v>
      </c>
      <c r="C61" s="82" t="s">
        <v>204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s="3" customFormat="1" x14ac:dyDescent="0.25">
      <c r="A62" s="3">
        <f t="shared" si="0"/>
        <v>59</v>
      </c>
      <c r="B62" s="82" t="s">
        <v>12</v>
      </c>
      <c r="C62" s="82" t="s">
        <v>205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s="3" customFormat="1" x14ac:dyDescent="0.25">
      <c r="A63" s="3">
        <f t="shared" si="0"/>
        <v>60</v>
      </c>
      <c r="B63" s="82" t="s">
        <v>206</v>
      </c>
      <c r="C63" s="82" t="s">
        <v>207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s="3" customFormat="1" x14ac:dyDescent="0.25">
      <c r="A64" s="3">
        <f t="shared" si="0"/>
        <v>61</v>
      </c>
      <c r="B64" s="82" t="s">
        <v>208</v>
      </c>
      <c r="C64" s="82" t="s">
        <v>209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33" s="3" customFormat="1" x14ac:dyDescent="0.25">
      <c r="A65" s="3">
        <f t="shared" si="0"/>
        <v>62</v>
      </c>
      <c r="B65" s="82" t="s">
        <v>210</v>
      </c>
      <c r="C65" s="82" t="s">
        <v>211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33" s="3" customFormat="1" x14ac:dyDescent="0.25">
      <c r="A66" s="3">
        <f t="shared" si="0"/>
        <v>63</v>
      </c>
      <c r="B66" s="82" t="s">
        <v>212</v>
      </c>
      <c r="C66" s="82" t="s">
        <v>11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33" s="3" customFormat="1" x14ac:dyDescent="0.25">
      <c r="A67" s="3">
        <f t="shared" si="0"/>
        <v>64</v>
      </c>
      <c r="B67" s="82" t="s">
        <v>55</v>
      </c>
      <c r="C67" s="82" t="s">
        <v>213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33" s="3" customFormat="1" x14ac:dyDescent="0.25">
      <c r="A68" s="3">
        <f t="shared" si="0"/>
        <v>65</v>
      </c>
      <c r="B68" s="82" t="s">
        <v>214</v>
      </c>
      <c r="C68" s="82" t="s">
        <v>215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33" s="3" customFormat="1" x14ac:dyDescent="0.25">
      <c r="A69" s="3">
        <f t="shared" si="0"/>
        <v>66</v>
      </c>
      <c r="B69" s="82" t="s">
        <v>216</v>
      </c>
      <c r="C69" s="82" t="s">
        <v>217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33" s="3" customFormat="1" x14ac:dyDescent="0.25">
      <c r="A70" s="3">
        <f t="shared" ref="A70:A76" si="1">A69+1</f>
        <v>67</v>
      </c>
      <c r="B70" s="82" t="s">
        <v>218</v>
      </c>
      <c r="C70" s="82" t="s">
        <v>219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33" s="3" customFormat="1" x14ac:dyDescent="0.25">
      <c r="A71" s="3">
        <f t="shared" si="1"/>
        <v>68</v>
      </c>
      <c r="B71" s="82" t="s">
        <v>220</v>
      </c>
      <c r="C71" s="82" t="s">
        <v>221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s="3" customFormat="1" x14ac:dyDescent="0.25">
      <c r="A72" s="3">
        <f t="shared" si="1"/>
        <v>69</v>
      </c>
      <c r="B72" s="82" t="s">
        <v>222</v>
      </c>
      <c r="C72" s="82" t="s">
        <v>223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s="3" customFormat="1" x14ac:dyDescent="0.25">
      <c r="A73" s="3">
        <f t="shared" si="1"/>
        <v>70</v>
      </c>
      <c r="B73" s="82" t="s">
        <v>224</v>
      </c>
      <c r="C73" s="82" t="s">
        <v>10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s="3" customFormat="1" x14ac:dyDescent="0.25">
      <c r="A74" s="3">
        <f t="shared" si="1"/>
        <v>71</v>
      </c>
      <c r="B74" s="82" t="s">
        <v>225</v>
      </c>
      <c r="C74" s="82" t="s">
        <v>226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s="3" customFormat="1" x14ac:dyDescent="0.25">
      <c r="A75" s="3">
        <f t="shared" si="1"/>
        <v>72</v>
      </c>
      <c r="B75" s="82" t="s">
        <v>227</v>
      </c>
      <c r="C75" s="82" t="s">
        <v>228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s="3" customFormat="1" x14ac:dyDescent="0.25">
      <c r="A76" s="3">
        <f t="shared" si="1"/>
        <v>73</v>
      </c>
      <c r="B76" s="82" t="s">
        <v>229</v>
      </c>
      <c r="C76" s="82" t="s">
        <v>230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</sheetData>
  <mergeCells count="2">
    <mergeCell ref="C1:W1"/>
    <mergeCell ref="B2:C2"/>
  </mergeCells>
  <conditionalFormatting sqref="D6:D76 H77 K77 N77">
    <cfRule type="cellIs" dxfId="136" priority="30" operator="lessThan">
      <formula>20</formula>
    </cfRule>
  </conditionalFormatting>
  <conditionalFormatting sqref="E6:E76">
    <cfRule type="cellIs" dxfId="135" priority="29" operator="lessThan">
      <formula>5</formula>
    </cfRule>
  </conditionalFormatting>
  <conditionalFormatting sqref="F6:F76 F77:G77 I77:J77 L77:M77">
    <cfRule type="cellIs" dxfId="134" priority="28" operator="lessThan">
      <formula>10</formula>
    </cfRule>
  </conditionalFormatting>
  <conditionalFormatting sqref="G6:G10 I6:I10 K6:K10 M6:M10 O6:O10 Q6:Q10 S6:S10 U6:U10">
    <cfRule type="cellIs" dxfId="133" priority="27" operator="lessThan">
      <formula>20</formula>
    </cfRule>
  </conditionalFormatting>
  <conditionalFormatting sqref="H6:H10 J6:J10 L6:L10 N6:N10 P6:P10 R6:R10 T6:T10">
    <cfRule type="cellIs" dxfId="132" priority="26" operator="lessThan">
      <formula>5</formula>
    </cfRule>
  </conditionalFormatting>
  <conditionalFormatting sqref="G11:G76 K11:K76 O11:O76 S11:S76">
    <cfRule type="cellIs" dxfId="131" priority="25" operator="lessThan">
      <formula>10</formula>
    </cfRule>
  </conditionalFormatting>
  <conditionalFormatting sqref="H11:H76 L11:L76 P11:P76 T11:T76 J11:J76 N11:N76 R11:R76">
    <cfRule type="cellIs" dxfId="130" priority="24" operator="lessThan">
      <formula>20</formula>
    </cfRule>
  </conditionalFormatting>
  <conditionalFormatting sqref="I11:I76 M11:M76 Q11:Q76 U11:U76">
    <cfRule type="cellIs" dxfId="129" priority="23" operator="lessThan">
      <formula>5</formula>
    </cfRule>
  </conditionalFormatting>
  <conditionalFormatting sqref="V11:V76">
    <cfRule type="cellIs" dxfId="128" priority="22" operator="lessThan">
      <formula>10</formula>
    </cfRule>
  </conditionalFormatting>
  <conditionalFormatting sqref="W11:W76">
    <cfRule type="cellIs" dxfId="127" priority="21" operator="lessThan">
      <formula>20</formula>
    </cfRule>
  </conditionalFormatting>
  <conditionalFormatting sqref="F4:F5 J4:J5 N4:N5 R4:R5 V4 H4:H5 L4:L5 P4:P5 T4:T5">
    <cfRule type="cellIs" dxfId="126" priority="17" operator="lessThan">
      <formula>20</formula>
    </cfRule>
  </conditionalFormatting>
  <conditionalFormatting sqref="E4:E5 I4:I5 M4:M5 Q4:Q5 U4:U5 G4:G5 K4:K5 O4:O5 S4:S5 W4">
    <cfRule type="cellIs" dxfId="125" priority="16" operator="lessThan">
      <formula>5</formula>
    </cfRule>
  </conditionalFormatting>
  <conditionalFormatting sqref="W5:W10">
    <cfRule type="cellIs" dxfId="124" priority="15" operator="lessThan">
      <formula>20</formula>
    </cfRule>
  </conditionalFormatting>
  <conditionalFormatting sqref="V5:V10">
    <cfRule type="cellIs" dxfId="123" priority="14" operator="lessThan">
      <formula>5</formula>
    </cfRule>
  </conditionalFormatting>
  <conditionalFormatting sqref="C4:D5">
    <cfRule type="cellIs" dxfId="122" priority="13" operator="lessThan">
      <formula>20</formula>
    </cfRule>
  </conditionalFormatting>
  <pageMargins left="0.11811023622047245" right="0.11811023622047245" top="0.74803149606299213" bottom="0.74803149606299213" header="0.31496062992125984" footer="0.31496062992125984"/>
  <pageSetup paperSize="9" scale="62" fitToWidth="2" fitToHeight="2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0256-F463-45EE-BBA3-335D19C44248}">
  <sheetPr codeName="Feuil14">
    <tabColor rgb="FF7030A0"/>
    <pageSetUpPr fitToPage="1"/>
  </sheetPr>
  <dimension ref="A1:AG69"/>
  <sheetViews>
    <sheetView showZeros="0" topLeftCell="A45" zoomScaleNormal="100" workbookViewId="0">
      <selection activeCell="A65" sqref="A65:XFD69"/>
    </sheetView>
  </sheetViews>
  <sheetFormatPr baseColWidth="10" defaultColWidth="11.42578125" defaultRowHeight="15.75" x14ac:dyDescent="0.25"/>
  <cols>
    <col min="1" max="1" width="21.28515625" style="1" customWidth="1"/>
    <col min="2" max="2" width="20.5703125" style="1" customWidth="1"/>
    <col min="3" max="22" width="4.5703125" style="1" customWidth="1"/>
    <col min="23" max="23" width="6.140625" style="1" customWidth="1"/>
    <col min="24" max="25" width="5.85546875" style="1" customWidth="1"/>
    <col min="26" max="27" width="5.28515625" style="1" customWidth="1"/>
    <col min="28" max="28" width="5.5703125" style="1" customWidth="1"/>
    <col min="29" max="29" width="6" style="1" customWidth="1"/>
    <col min="30" max="32" width="5.85546875" style="1" customWidth="1"/>
    <col min="33" max="33" width="6.28515625" style="1" customWidth="1"/>
    <col min="34" max="16384" width="11.42578125" style="1"/>
  </cols>
  <sheetData>
    <row r="1" spans="1:33" ht="46.5" customHeight="1" x14ac:dyDescent="0.5">
      <c r="A1" s="11"/>
      <c r="B1" s="203" t="s">
        <v>43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4.5" customHeight="1" x14ac:dyDescent="0.35">
      <c r="A2" s="11"/>
      <c r="B2" s="11"/>
      <c r="C2" s="6" t="s">
        <v>18</v>
      </c>
      <c r="D2" s="6" t="s">
        <v>19</v>
      </c>
      <c r="E2" s="6" t="s">
        <v>20</v>
      </c>
      <c r="F2" s="6" t="s">
        <v>44</v>
      </c>
      <c r="G2" s="6" t="s">
        <v>23</v>
      </c>
      <c r="H2" s="6" t="s">
        <v>45</v>
      </c>
      <c r="I2" s="6" t="s">
        <v>25</v>
      </c>
      <c r="J2" s="6" t="s">
        <v>27</v>
      </c>
      <c r="K2" s="6" t="s">
        <v>28</v>
      </c>
      <c r="L2" s="7" t="s">
        <v>46</v>
      </c>
      <c r="M2" s="7" t="s">
        <v>31</v>
      </c>
      <c r="N2" s="7" t="s">
        <v>13</v>
      </c>
      <c r="O2" s="7" t="s">
        <v>47</v>
      </c>
      <c r="P2" s="7" t="s">
        <v>48</v>
      </c>
      <c r="Q2" s="7" t="s">
        <v>49</v>
      </c>
      <c r="R2" s="7" t="s">
        <v>32</v>
      </c>
      <c r="S2" s="7" t="s">
        <v>33</v>
      </c>
      <c r="T2" s="7" t="s">
        <v>35</v>
      </c>
      <c r="U2" s="7" t="s">
        <v>36</v>
      </c>
      <c r="V2" s="7" t="s">
        <v>38</v>
      </c>
      <c r="W2" s="5" t="s">
        <v>8</v>
      </c>
      <c r="X2" s="3"/>
      <c r="Y2" s="9"/>
      <c r="Z2" s="3"/>
      <c r="AA2" s="3"/>
      <c r="AB2" s="3"/>
      <c r="AC2" s="3"/>
      <c r="AD2" s="3"/>
      <c r="AE2" s="3"/>
      <c r="AF2" s="3"/>
      <c r="AG2" s="3"/>
    </row>
    <row r="3" spans="1:33" s="3" customFormat="1" ht="20.25" customHeight="1" thickBot="1" x14ac:dyDescent="0.35">
      <c r="A3" s="10" t="s">
        <v>7</v>
      </c>
      <c r="B3" s="8" t="s">
        <v>6</v>
      </c>
      <c r="C3" s="53" t="s">
        <v>58</v>
      </c>
      <c r="D3" s="53" t="s">
        <v>59</v>
      </c>
      <c r="E3" s="53" t="s">
        <v>60</v>
      </c>
      <c r="F3" s="53" t="s">
        <v>61</v>
      </c>
      <c r="G3" s="53" t="s">
        <v>62</v>
      </c>
      <c r="H3" s="53" t="s">
        <v>63</v>
      </c>
      <c r="I3" s="53" t="s">
        <v>64</v>
      </c>
      <c r="J3" s="53" t="s">
        <v>65</v>
      </c>
      <c r="K3" s="53" t="s">
        <v>66</v>
      </c>
      <c r="L3" s="53" t="s">
        <v>67</v>
      </c>
      <c r="M3" s="53" t="s">
        <v>68</v>
      </c>
      <c r="N3" s="53" t="s">
        <v>69</v>
      </c>
      <c r="O3" s="53" t="s">
        <v>77</v>
      </c>
      <c r="P3" s="53" t="s">
        <v>79</v>
      </c>
      <c r="Q3" s="53" t="s">
        <v>80</v>
      </c>
      <c r="R3" s="53" t="s">
        <v>81</v>
      </c>
      <c r="S3" s="53" t="s">
        <v>70</v>
      </c>
      <c r="T3" s="53" t="s">
        <v>82</v>
      </c>
      <c r="U3" s="53" t="s">
        <v>83</v>
      </c>
      <c r="V3" s="53" t="s">
        <v>84</v>
      </c>
      <c r="W3" s="53" t="s">
        <v>78</v>
      </c>
    </row>
    <row r="4" spans="1:33" s="3" customFormat="1" ht="20.25" customHeight="1" thickBot="1" x14ac:dyDescent="0.3">
      <c r="A4" s="82" t="s">
        <v>248</v>
      </c>
      <c r="B4" s="82" t="s">
        <v>249</v>
      </c>
      <c r="C4" s="89">
        <v>27</v>
      </c>
      <c r="D4" s="91">
        <v>0</v>
      </c>
      <c r="E4" s="91">
        <v>14</v>
      </c>
      <c r="F4" s="83">
        <v>4</v>
      </c>
      <c r="G4" s="83">
        <v>3</v>
      </c>
      <c r="H4" s="83">
        <v>7</v>
      </c>
      <c r="I4" s="83">
        <v>2</v>
      </c>
      <c r="J4" s="83">
        <v>5</v>
      </c>
      <c r="K4" s="83">
        <v>7</v>
      </c>
      <c r="L4" s="83">
        <v>6</v>
      </c>
      <c r="M4" s="91">
        <v>14</v>
      </c>
      <c r="N4" s="91">
        <v>29</v>
      </c>
      <c r="O4" s="83">
        <v>18</v>
      </c>
      <c r="P4" s="83">
        <v>14</v>
      </c>
      <c r="Q4" s="83">
        <v>12</v>
      </c>
      <c r="R4" s="83">
        <v>13</v>
      </c>
      <c r="S4" s="83">
        <v>11</v>
      </c>
      <c r="T4" s="83">
        <v>10</v>
      </c>
      <c r="U4" s="83">
        <v>15</v>
      </c>
      <c r="V4" s="83">
        <v>14</v>
      </c>
      <c r="W4" s="91">
        <v>55.8</v>
      </c>
    </row>
    <row r="5" spans="1:33" s="3" customFormat="1" ht="20.25" customHeight="1" thickBot="1" x14ac:dyDescent="0.3">
      <c r="A5" s="82" t="s">
        <v>234</v>
      </c>
      <c r="B5" s="82" t="s">
        <v>127</v>
      </c>
      <c r="C5" s="11">
        <v>4</v>
      </c>
      <c r="D5" s="11">
        <v>1</v>
      </c>
      <c r="E5" s="11">
        <v>11</v>
      </c>
      <c r="F5" s="83">
        <v>2</v>
      </c>
      <c r="G5" s="83">
        <v>2</v>
      </c>
      <c r="H5" s="83">
        <v>4</v>
      </c>
      <c r="I5" s="83">
        <v>12</v>
      </c>
      <c r="J5" s="83">
        <v>4</v>
      </c>
      <c r="K5" s="83">
        <v>6</v>
      </c>
      <c r="L5" s="83">
        <v>3</v>
      </c>
      <c r="M5" s="3">
        <v>8</v>
      </c>
      <c r="N5" s="3">
        <v>17</v>
      </c>
      <c r="O5" s="83">
        <v>11</v>
      </c>
      <c r="P5" s="83">
        <v>12</v>
      </c>
      <c r="Q5" s="83">
        <v>9</v>
      </c>
      <c r="R5" s="83">
        <v>2</v>
      </c>
      <c r="S5" s="83">
        <v>13</v>
      </c>
      <c r="T5" s="83">
        <v>13</v>
      </c>
      <c r="U5" s="83">
        <v>15</v>
      </c>
      <c r="V5" s="83">
        <v>5</v>
      </c>
      <c r="W5" s="3">
        <v>40.799999999999997</v>
      </c>
    </row>
    <row r="6" spans="1:33" s="3" customFormat="1" ht="20.25" customHeight="1" thickBot="1" x14ac:dyDescent="0.3">
      <c r="A6" s="82" t="s">
        <v>277</v>
      </c>
      <c r="B6" s="82" t="s">
        <v>278</v>
      </c>
      <c r="C6" s="1">
        <v>21</v>
      </c>
      <c r="D6" s="1">
        <v>4</v>
      </c>
      <c r="E6" s="1">
        <v>6</v>
      </c>
      <c r="F6" s="83">
        <v>3</v>
      </c>
      <c r="G6" s="83">
        <v>5</v>
      </c>
      <c r="H6" s="83">
        <v>4</v>
      </c>
      <c r="I6" s="83">
        <v>2</v>
      </c>
      <c r="J6" s="83">
        <v>5</v>
      </c>
      <c r="K6" s="83">
        <v>8</v>
      </c>
      <c r="L6" s="83">
        <v>5</v>
      </c>
      <c r="M6" s="1">
        <v>20</v>
      </c>
      <c r="N6" s="1">
        <v>25</v>
      </c>
      <c r="O6" s="83">
        <v>12</v>
      </c>
      <c r="P6" s="83">
        <v>12</v>
      </c>
      <c r="Q6" s="83">
        <v>13</v>
      </c>
      <c r="R6" s="83">
        <v>15</v>
      </c>
      <c r="S6" s="83">
        <v>14</v>
      </c>
      <c r="T6" s="83">
        <v>11</v>
      </c>
      <c r="U6" s="83">
        <v>13</v>
      </c>
      <c r="V6" s="83">
        <v>5</v>
      </c>
      <c r="W6" s="1">
        <v>52.5</v>
      </c>
    </row>
    <row r="7" spans="1:33" s="3" customFormat="1" ht="20.25" customHeight="1" thickBot="1" x14ac:dyDescent="0.3">
      <c r="A7" s="82" t="s">
        <v>329</v>
      </c>
      <c r="B7" s="82" t="s">
        <v>330</v>
      </c>
      <c r="C7" s="1">
        <v>23</v>
      </c>
      <c r="D7" s="1">
        <v>4</v>
      </c>
      <c r="E7" s="1">
        <v>4</v>
      </c>
      <c r="F7" s="83">
        <v>6</v>
      </c>
      <c r="G7" s="83">
        <v>5</v>
      </c>
      <c r="H7" s="83">
        <v>5</v>
      </c>
      <c r="I7" s="83">
        <v>10</v>
      </c>
      <c r="J7" s="83">
        <v>4</v>
      </c>
      <c r="K7" s="83">
        <v>6</v>
      </c>
      <c r="L7" s="83">
        <v>4</v>
      </c>
      <c r="M7" s="1">
        <v>14</v>
      </c>
      <c r="N7" s="1">
        <v>30</v>
      </c>
      <c r="O7" s="83">
        <v>9</v>
      </c>
      <c r="P7" s="83">
        <v>14</v>
      </c>
      <c r="Q7" s="83">
        <v>11</v>
      </c>
      <c r="R7" s="83">
        <v>3</v>
      </c>
      <c r="S7" s="83">
        <v>15</v>
      </c>
      <c r="T7" s="83">
        <v>15</v>
      </c>
      <c r="U7" s="83">
        <v>15</v>
      </c>
      <c r="V7" s="83">
        <v>12</v>
      </c>
      <c r="W7" s="1">
        <v>52.3</v>
      </c>
    </row>
    <row r="8" spans="1:33" s="3" customFormat="1" ht="20.25" customHeight="1" thickBot="1" x14ac:dyDescent="0.3">
      <c r="A8" s="82" t="s">
        <v>327</v>
      </c>
      <c r="B8" s="82" t="s">
        <v>328</v>
      </c>
      <c r="C8" s="1">
        <v>38</v>
      </c>
      <c r="D8" s="1">
        <v>7</v>
      </c>
      <c r="E8" s="1">
        <v>4</v>
      </c>
      <c r="F8" s="83">
        <v>6</v>
      </c>
      <c r="G8" s="83">
        <v>5</v>
      </c>
      <c r="H8" s="83">
        <v>5</v>
      </c>
      <c r="I8" s="83">
        <v>10</v>
      </c>
      <c r="J8" s="83">
        <v>5</v>
      </c>
      <c r="K8" s="83">
        <v>7</v>
      </c>
      <c r="L8" s="83">
        <v>6</v>
      </c>
      <c r="M8" s="1">
        <v>22</v>
      </c>
      <c r="N8" s="1">
        <v>34</v>
      </c>
      <c r="O8" s="83">
        <v>15</v>
      </c>
      <c r="P8" s="83">
        <v>12</v>
      </c>
      <c r="Q8" s="83">
        <v>12</v>
      </c>
      <c r="R8" s="83">
        <v>18</v>
      </c>
      <c r="S8" s="83">
        <v>17</v>
      </c>
      <c r="T8" s="83">
        <v>9</v>
      </c>
      <c r="U8" s="83">
        <v>12</v>
      </c>
      <c r="V8" s="83">
        <v>12</v>
      </c>
      <c r="W8" s="1">
        <v>64</v>
      </c>
    </row>
    <row r="9" spans="1:33" s="3" customFormat="1" ht="20.25" customHeight="1" thickBot="1" x14ac:dyDescent="0.3">
      <c r="A9" s="82" t="s">
        <v>279</v>
      </c>
      <c r="B9" s="82" t="s">
        <v>280</v>
      </c>
      <c r="C9" s="1">
        <v>11</v>
      </c>
      <c r="D9" s="1">
        <v>1</v>
      </c>
      <c r="E9" s="1">
        <v>8</v>
      </c>
      <c r="F9" s="83">
        <v>2</v>
      </c>
      <c r="G9" s="83">
        <v>1</v>
      </c>
      <c r="H9" s="83">
        <v>1</v>
      </c>
      <c r="I9" s="83">
        <v>12</v>
      </c>
      <c r="J9" s="83">
        <v>4</v>
      </c>
      <c r="K9" s="83">
        <v>8</v>
      </c>
      <c r="L9" s="83">
        <v>3</v>
      </c>
      <c r="M9" s="1">
        <v>23</v>
      </c>
      <c r="N9" s="1">
        <v>20</v>
      </c>
      <c r="O9" s="83">
        <v>11</v>
      </c>
      <c r="P9" s="83">
        <v>14</v>
      </c>
      <c r="Q9" s="83">
        <v>11</v>
      </c>
      <c r="R9" s="83">
        <v>3</v>
      </c>
      <c r="S9" s="83">
        <v>17</v>
      </c>
      <c r="T9" s="83">
        <v>9</v>
      </c>
      <c r="U9" s="83">
        <v>11</v>
      </c>
      <c r="V9" s="83">
        <v>11</v>
      </c>
      <c r="W9" s="1">
        <v>45.5</v>
      </c>
    </row>
    <row r="10" spans="1:33" s="3" customFormat="1" ht="20.25" customHeight="1" thickBot="1" x14ac:dyDescent="0.3">
      <c r="A10" s="82" t="s">
        <v>298</v>
      </c>
      <c r="B10" s="82" t="s">
        <v>299</v>
      </c>
      <c r="C10" s="1">
        <v>13</v>
      </c>
      <c r="D10" s="1">
        <v>4</v>
      </c>
      <c r="E10" s="1">
        <v>14</v>
      </c>
      <c r="F10" s="83">
        <v>4</v>
      </c>
      <c r="G10" s="83">
        <v>5</v>
      </c>
      <c r="H10" s="83">
        <v>5</v>
      </c>
      <c r="I10" s="83">
        <v>8</v>
      </c>
      <c r="J10" s="83">
        <v>5</v>
      </c>
      <c r="K10" s="83">
        <v>5</v>
      </c>
      <c r="L10" s="83">
        <v>3</v>
      </c>
      <c r="M10" s="1">
        <v>14</v>
      </c>
      <c r="N10" s="1">
        <v>25</v>
      </c>
      <c r="O10" s="83">
        <v>12</v>
      </c>
      <c r="P10" s="83">
        <v>14</v>
      </c>
      <c r="Q10" s="83">
        <v>9</v>
      </c>
      <c r="R10" s="83">
        <v>12</v>
      </c>
      <c r="S10" s="83">
        <v>16</v>
      </c>
      <c r="T10" s="83">
        <v>11</v>
      </c>
      <c r="U10" s="83">
        <v>10</v>
      </c>
      <c r="V10" s="83">
        <v>13</v>
      </c>
      <c r="W10" s="1">
        <v>50.5</v>
      </c>
    </row>
    <row r="11" spans="1:33" s="3" customFormat="1" ht="20.25" customHeight="1" thickBot="1" x14ac:dyDescent="0.3">
      <c r="A11" s="82" t="s">
        <v>296</v>
      </c>
      <c r="B11" s="82" t="s">
        <v>51</v>
      </c>
      <c r="C11" s="1">
        <v>31</v>
      </c>
      <c r="D11" s="1">
        <v>7</v>
      </c>
      <c r="E11" s="1">
        <v>16</v>
      </c>
      <c r="F11" s="83">
        <v>5</v>
      </c>
      <c r="G11" s="83">
        <v>5</v>
      </c>
      <c r="H11" s="83">
        <v>5</v>
      </c>
      <c r="I11" s="83">
        <v>14</v>
      </c>
      <c r="J11" s="83">
        <v>5</v>
      </c>
      <c r="K11" s="83">
        <v>6</v>
      </c>
      <c r="L11" s="83">
        <v>5</v>
      </c>
      <c r="M11" s="1">
        <v>15</v>
      </c>
      <c r="N11" s="1">
        <v>24</v>
      </c>
      <c r="O11" s="83">
        <v>15</v>
      </c>
      <c r="P11" s="83">
        <v>14</v>
      </c>
      <c r="Q11" s="83">
        <v>13</v>
      </c>
      <c r="R11" s="83">
        <v>17</v>
      </c>
      <c r="S11" s="83">
        <v>13</v>
      </c>
      <c r="T11" s="83">
        <v>12</v>
      </c>
      <c r="U11" s="83">
        <v>14</v>
      </c>
      <c r="V11" s="83">
        <v>12</v>
      </c>
      <c r="W11" s="1">
        <v>62</v>
      </c>
    </row>
    <row r="12" spans="1:33" s="3" customFormat="1" ht="20.25" customHeight="1" thickBot="1" x14ac:dyDescent="0.3">
      <c r="A12" s="82" t="s">
        <v>323</v>
      </c>
      <c r="B12" s="82" t="s">
        <v>324</v>
      </c>
      <c r="C12" s="1">
        <v>26</v>
      </c>
      <c r="D12" s="1">
        <v>7</v>
      </c>
      <c r="E12" s="1">
        <v>14</v>
      </c>
      <c r="F12" s="83">
        <v>4</v>
      </c>
      <c r="G12" s="83">
        <v>5</v>
      </c>
      <c r="H12" s="83">
        <v>3</v>
      </c>
      <c r="I12" s="83">
        <v>14</v>
      </c>
      <c r="J12" s="83">
        <v>8</v>
      </c>
      <c r="K12" s="83">
        <v>8</v>
      </c>
      <c r="L12" s="83">
        <v>5</v>
      </c>
      <c r="M12" s="1">
        <v>22</v>
      </c>
      <c r="N12" s="1">
        <v>27</v>
      </c>
      <c r="O12" s="83">
        <v>11</v>
      </c>
      <c r="P12" s="83">
        <v>14</v>
      </c>
      <c r="Q12" s="83">
        <v>12</v>
      </c>
      <c r="R12" s="83">
        <v>17</v>
      </c>
      <c r="S12" s="83">
        <v>15</v>
      </c>
      <c r="T12" s="83">
        <v>14</v>
      </c>
      <c r="U12" s="83">
        <v>13</v>
      </c>
      <c r="V12" s="83">
        <v>15</v>
      </c>
      <c r="W12" s="1">
        <v>63.5</v>
      </c>
    </row>
    <row r="13" spans="1:33" s="3" customFormat="1" ht="20.25" customHeight="1" thickBot="1" x14ac:dyDescent="0.3">
      <c r="A13" s="82" t="s">
        <v>275</v>
      </c>
      <c r="B13" s="82" t="s">
        <v>276</v>
      </c>
      <c r="C13" s="1">
        <v>10</v>
      </c>
      <c r="D13" s="1">
        <v>7</v>
      </c>
      <c r="E13" s="1">
        <v>4</v>
      </c>
      <c r="F13" s="83">
        <v>7</v>
      </c>
      <c r="G13" s="83">
        <v>4</v>
      </c>
      <c r="H13" s="83">
        <v>4</v>
      </c>
      <c r="I13" s="83">
        <v>2</v>
      </c>
      <c r="J13" s="83">
        <v>5</v>
      </c>
      <c r="K13" s="83">
        <v>6</v>
      </c>
      <c r="L13" s="83">
        <v>4</v>
      </c>
      <c r="M13" s="1">
        <v>14</v>
      </c>
      <c r="N13" s="1">
        <v>25</v>
      </c>
      <c r="O13" s="83">
        <v>8</v>
      </c>
      <c r="P13" s="83">
        <v>12</v>
      </c>
      <c r="Q13" s="83">
        <v>12</v>
      </c>
      <c r="R13" s="83">
        <v>3</v>
      </c>
      <c r="S13" s="83">
        <v>13</v>
      </c>
      <c r="T13" s="83">
        <v>11</v>
      </c>
      <c r="U13" s="83">
        <v>11</v>
      </c>
      <c r="V13" s="83">
        <v>5</v>
      </c>
      <c r="W13" s="1">
        <v>43.5</v>
      </c>
    </row>
    <row r="14" spans="1:33" s="3" customFormat="1" ht="20.25" customHeight="1" thickBot="1" x14ac:dyDescent="0.3">
      <c r="A14" s="82" t="s">
        <v>315</v>
      </c>
      <c r="B14" s="82" t="s">
        <v>316</v>
      </c>
      <c r="C14" s="1">
        <v>34</v>
      </c>
      <c r="D14" s="1">
        <v>8</v>
      </c>
      <c r="E14" s="1">
        <v>4</v>
      </c>
      <c r="F14" s="83">
        <v>4</v>
      </c>
      <c r="G14" s="83">
        <v>4</v>
      </c>
      <c r="H14" s="83">
        <v>5</v>
      </c>
      <c r="I14" s="83">
        <v>10</v>
      </c>
      <c r="J14" s="83">
        <v>5</v>
      </c>
      <c r="K14" s="83">
        <v>6</v>
      </c>
      <c r="L14" s="83">
        <v>5</v>
      </c>
      <c r="M14" s="1">
        <v>14</v>
      </c>
      <c r="N14" s="1">
        <v>25</v>
      </c>
      <c r="O14" s="83">
        <v>11</v>
      </c>
      <c r="P14" s="83">
        <v>12</v>
      </c>
      <c r="Q14" s="83">
        <v>11</v>
      </c>
      <c r="R14" s="83">
        <v>21</v>
      </c>
      <c r="S14" s="83">
        <v>16</v>
      </c>
      <c r="T14" s="83">
        <v>10</v>
      </c>
      <c r="U14" s="83">
        <v>12</v>
      </c>
      <c r="V14" s="83">
        <v>14</v>
      </c>
      <c r="W14" s="1">
        <v>57.8</v>
      </c>
    </row>
    <row r="15" spans="1:33" s="3" customFormat="1" ht="19.5" customHeight="1" thickBot="1" x14ac:dyDescent="0.3">
      <c r="A15" s="82" t="s">
        <v>319</v>
      </c>
      <c r="B15" s="82" t="s">
        <v>320</v>
      </c>
      <c r="C15" s="1">
        <v>22</v>
      </c>
      <c r="D15" s="1">
        <v>10</v>
      </c>
      <c r="E15" s="1">
        <v>18</v>
      </c>
      <c r="F15" s="83">
        <v>3</v>
      </c>
      <c r="G15" s="83">
        <v>2</v>
      </c>
      <c r="H15" s="83">
        <v>1</v>
      </c>
      <c r="I15" s="83">
        <v>12</v>
      </c>
      <c r="J15" s="83">
        <v>5</v>
      </c>
      <c r="K15" s="83">
        <v>6</v>
      </c>
      <c r="L15" s="83">
        <v>4</v>
      </c>
      <c r="M15" s="1">
        <v>14</v>
      </c>
      <c r="N15" s="1">
        <v>23</v>
      </c>
      <c r="O15" s="83">
        <v>17</v>
      </c>
      <c r="P15" s="83">
        <v>10</v>
      </c>
      <c r="Q15" s="83">
        <v>9</v>
      </c>
      <c r="R15" s="83">
        <v>18</v>
      </c>
      <c r="S15" s="83">
        <v>15</v>
      </c>
      <c r="T15" s="83">
        <v>12</v>
      </c>
      <c r="U15" s="83">
        <v>11</v>
      </c>
      <c r="V15" s="83">
        <v>13</v>
      </c>
      <c r="W15" s="1">
        <v>56.3</v>
      </c>
    </row>
    <row r="16" spans="1:33" s="3" customFormat="1" ht="16.5" thickBot="1" x14ac:dyDescent="0.3">
      <c r="A16" s="82" t="s">
        <v>289</v>
      </c>
      <c r="B16" s="82" t="s">
        <v>290</v>
      </c>
      <c r="C16" s="1">
        <v>25</v>
      </c>
      <c r="D16" s="1">
        <v>7</v>
      </c>
      <c r="E16" s="1">
        <v>18</v>
      </c>
      <c r="F16" s="83">
        <v>8</v>
      </c>
      <c r="G16" s="83">
        <v>5</v>
      </c>
      <c r="H16" s="83">
        <v>5</v>
      </c>
      <c r="I16" s="83">
        <v>10</v>
      </c>
      <c r="J16" s="83">
        <v>5</v>
      </c>
      <c r="K16" s="83">
        <v>8</v>
      </c>
      <c r="L16" s="83">
        <v>3</v>
      </c>
      <c r="M16" s="1">
        <v>17</v>
      </c>
      <c r="N16" s="1">
        <v>25</v>
      </c>
      <c r="O16" s="83">
        <v>8</v>
      </c>
      <c r="P16" s="83">
        <v>14</v>
      </c>
      <c r="Q16" s="83">
        <v>9</v>
      </c>
      <c r="R16" s="83">
        <v>15</v>
      </c>
      <c r="S16" s="83">
        <v>13</v>
      </c>
      <c r="T16" s="83">
        <v>11</v>
      </c>
      <c r="U16" s="83">
        <v>11</v>
      </c>
      <c r="V16" s="83">
        <v>12</v>
      </c>
      <c r="W16" s="1">
        <v>57.3</v>
      </c>
    </row>
    <row r="17" spans="1:33" s="3" customFormat="1" ht="16.5" thickBot="1" x14ac:dyDescent="0.3">
      <c r="A17" s="82" t="s">
        <v>325</v>
      </c>
      <c r="B17" s="82" t="s">
        <v>326</v>
      </c>
      <c r="C17" s="1">
        <v>33</v>
      </c>
      <c r="D17" s="1">
        <v>7</v>
      </c>
      <c r="E17" s="1">
        <v>2</v>
      </c>
      <c r="F17" s="83">
        <v>7</v>
      </c>
      <c r="G17" s="83">
        <v>4</v>
      </c>
      <c r="H17" s="83">
        <v>5</v>
      </c>
      <c r="I17" s="83">
        <v>16</v>
      </c>
      <c r="J17" s="83">
        <v>5</v>
      </c>
      <c r="K17" s="83">
        <v>7</v>
      </c>
      <c r="L17" s="83">
        <v>4</v>
      </c>
      <c r="M17" s="1">
        <v>17</v>
      </c>
      <c r="N17" s="1">
        <v>29</v>
      </c>
      <c r="O17" s="83">
        <v>19</v>
      </c>
      <c r="P17" s="83">
        <v>14</v>
      </c>
      <c r="Q17" s="83">
        <v>12</v>
      </c>
      <c r="R17" s="83">
        <v>17</v>
      </c>
      <c r="S17" s="83">
        <v>16</v>
      </c>
      <c r="T17" s="83">
        <v>15</v>
      </c>
      <c r="U17" s="83">
        <v>13</v>
      </c>
      <c r="V17" s="83">
        <v>14</v>
      </c>
      <c r="W17" s="1">
        <v>64</v>
      </c>
    </row>
    <row r="18" spans="1:33" s="3" customFormat="1" ht="16.5" thickBot="1" x14ac:dyDescent="0.3">
      <c r="A18" s="82" t="s">
        <v>308</v>
      </c>
      <c r="B18" s="82" t="s">
        <v>309</v>
      </c>
      <c r="C18" s="1">
        <v>25</v>
      </c>
      <c r="D18" s="1">
        <v>8</v>
      </c>
      <c r="E18" s="1">
        <v>8</v>
      </c>
      <c r="F18" s="83">
        <v>3</v>
      </c>
      <c r="G18" s="83">
        <v>1</v>
      </c>
      <c r="H18" s="83">
        <v>1</v>
      </c>
      <c r="I18" s="83">
        <v>12</v>
      </c>
      <c r="J18" s="83">
        <v>5</v>
      </c>
      <c r="K18" s="83">
        <v>6</v>
      </c>
      <c r="L18" s="83">
        <v>4</v>
      </c>
      <c r="M18" s="1">
        <v>15</v>
      </c>
      <c r="N18" s="1">
        <v>25</v>
      </c>
      <c r="O18" s="83">
        <v>12</v>
      </c>
      <c r="P18" s="83">
        <v>12</v>
      </c>
      <c r="Q18" s="83">
        <v>12</v>
      </c>
      <c r="R18" s="83">
        <v>14</v>
      </c>
      <c r="S18" s="83">
        <v>14</v>
      </c>
      <c r="T18" s="83">
        <v>16</v>
      </c>
      <c r="U18" s="83">
        <v>12</v>
      </c>
      <c r="V18" s="83">
        <v>5</v>
      </c>
      <c r="W18" s="1">
        <v>52.5</v>
      </c>
    </row>
    <row r="19" spans="1:33" s="3" customFormat="1" ht="16.5" thickBot="1" x14ac:dyDescent="0.3">
      <c r="A19" s="82" t="s">
        <v>273</v>
      </c>
      <c r="B19" s="82" t="s">
        <v>274</v>
      </c>
      <c r="C19" s="1">
        <v>25</v>
      </c>
      <c r="D19" s="1">
        <v>4</v>
      </c>
      <c r="E19" s="1">
        <v>10</v>
      </c>
      <c r="F19" s="83">
        <v>5</v>
      </c>
      <c r="G19" s="83">
        <v>1</v>
      </c>
      <c r="H19" s="83">
        <v>5</v>
      </c>
      <c r="I19" s="83">
        <v>12</v>
      </c>
      <c r="J19" s="83">
        <v>3</v>
      </c>
      <c r="K19" s="83">
        <v>8</v>
      </c>
      <c r="L19" s="83">
        <v>3</v>
      </c>
      <c r="M19" s="1">
        <v>14</v>
      </c>
      <c r="N19" s="1">
        <v>25</v>
      </c>
      <c r="O19" s="83">
        <v>8</v>
      </c>
      <c r="P19" s="83">
        <v>12</v>
      </c>
      <c r="Q19" s="83">
        <v>9</v>
      </c>
      <c r="R19" s="83">
        <v>3</v>
      </c>
      <c r="S19" s="83">
        <v>13</v>
      </c>
      <c r="T19" s="83">
        <v>8</v>
      </c>
      <c r="U19" s="83">
        <v>13</v>
      </c>
      <c r="V19" s="83">
        <v>13</v>
      </c>
      <c r="W19" s="1">
        <v>48.3</v>
      </c>
    </row>
    <row r="20" spans="1:33" s="3" customFormat="1" ht="16.5" thickBot="1" x14ac:dyDescent="0.3">
      <c r="A20" s="82" t="s">
        <v>138</v>
      </c>
      <c r="B20" s="82" t="s">
        <v>138</v>
      </c>
      <c r="C20" s="1">
        <v>11</v>
      </c>
      <c r="D20" s="1">
        <v>1</v>
      </c>
      <c r="E20" s="1">
        <v>2</v>
      </c>
      <c r="F20" s="83">
        <v>4</v>
      </c>
      <c r="G20" s="83">
        <v>5</v>
      </c>
      <c r="H20" s="83">
        <v>6</v>
      </c>
      <c r="I20" s="83">
        <v>17</v>
      </c>
      <c r="J20" s="83">
        <v>4</v>
      </c>
      <c r="K20" s="83">
        <v>6</v>
      </c>
      <c r="L20" s="83">
        <v>4</v>
      </c>
      <c r="M20" s="1">
        <v>14</v>
      </c>
      <c r="N20" s="1">
        <v>24</v>
      </c>
      <c r="O20" s="83">
        <v>8</v>
      </c>
      <c r="P20" s="83">
        <v>14</v>
      </c>
      <c r="Q20" s="83">
        <v>11</v>
      </c>
      <c r="R20" s="83">
        <v>26</v>
      </c>
      <c r="S20" s="83">
        <v>17</v>
      </c>
      <c r="T20" s="83">
        <v>14</v>
      </c>
      <c r="U20" s="83">
        <v>15</v>
      </c>
      <c r="V20" s="83">
        <v>15</v>
      </c>
      <c r="W20" s="1">
        <v>53.8</v>
      </c>
    </row>
    <row r="21" spans="1:33" s="3" customFormat="1" ht="16.5" thickBot="1" x14ac:dyDescent="0.3">
      <c r="A21" s="82" t="s">
        <v>291</v>
      </c>
      <c r="B21" s="82" t="s">
        <v>292</v>
      </c>
      <c r="C21" s="1">
        <v>14</v>
      </c>
      <c r="D21" s="1">
        <v>4</v>
      </c>
      <c r="E21" s="1">
        <v>6</v>
      </c>
      <c r="F21" s="83">
        <v>8</v>
      </c>
      <c r="G21" s="83">
        <v>5</v>
      </c>
      <c r="H21" s="83">
        <v>7</v>
      </c>
      <c r="I21" s="83">
        <v>12</v>
      </c>
      <c r="J21" s="83">
        <v>7</v>
      </c>
      <c r="K21" s="83">
        <v>8</v>
      </c>
      <c r="L21" s="83">
        <v>5</v>
      </c>
      <c r="M21" s="1">
        <v>18</v>
      </c>
      <c r="N21" s="1">
        <v>29</v>
      </c>
      <c r="O21" s="83">
        <v>9</v>
      </c>
      <c r="P21" s="83">
        <v>12</v>
      </c>
      <c r="Q21" s="83">
        <v>11</v>
      </c>
      <c r="R21" s="83">
        <v>15</v>
      </c>
      <c r="S21" s="83">
        <v>15</v>
      </c>
      <c r="T21" s="83">
        <v>11</v>
      </c>
      <c r="U21" s="83">
        <v>12</v>
      </c>
      <c r="V21" s="83">
        <v>14</v>
      </c>
      <c r="W21" s="1">
        <v>55.5</v>
      </c>
    </row>
    <row r="22" spans="1:33" s="3" customFormat="1" ht="16.5" thickBot="1" x14ac:dyDescent="0.3">
      <c r="A22" s="82" t="s">
        <v>147</v>
      </c>
      <c r="B22" s="82" t="s">
        <v>148</v>
      </c>
      <c r="C22" s="1">
        <v>16</v>
      </c>
      <c r="D22" s="1">
        <v>3</v>
      </c>
      <c r="E22" s="1">
        <v>12</v>
      </c>
      <c r="F22" s="83">
        <v>8</v>
      </c>
      <c r="G22" s="83">
        <v>5</v>
      </c>
      <c r="H22" s="83">
        <v>5</v>
      </c>
      <c r="I22" s="83">
        <v>5</v>
      </c>
      <c r="J22" s="83">
        <v>4</v>
      </c>
      <c r="K22" s="83">
        <v>5</v>
      </c>
      <c r="L22" s="83">
        <v>5</v>
      </c>
      <c r="M22" s="1">
        <v>14</v>
      </c>
      <c r="N22" s="1">
        <v>25</v>
      </c>
      <c r="O22" s="83">
        <v>10</v>
      </c>
      <c r="P22" s="83">
        <v>8</v>
      </c>
      <c r="Q22" s="83">
        <v>10</v>
      </c>
      <c r="R22" s="83">
        <v>6</v>
      </c>
      <c r="S22" s="83">
        <v>10</v>
      </c>
      <c r="T22" s="83">
        <v>14</v>
      </c>
      <c r="U22" s="83">
        <v>13</v>
      </c>
      <c r="V22" s="83">
        <v>10</v>
      </c>
      <c r="W22" s="1">
        <v>47</v>
      </c>
    </row>
    <row r="23" spans="1:33" s="3" customFormat="1" ht="16.5" thickBot="1" x14ac:dyDescent="0.3">
      <c r="A23" s="82" t="s">
        <v>267</v>
      </c>
      <c r="B23" s="82" t="s">
        <v>268</v>
      </c>
      <c r="C23" s="1">
        <v>29</v>
      </c>
      <c r="D23" s="1">
        <v>4</v>
      </c>
      <c r="E23" s="1">
        <v>12</v>
      </c>
      <c r="F23" s="83">
        <v>7</v>
      </c>
      <c r="G23" s="83">
        <v>5</v>
      </c>
      <c r="H23" s="83">
        <v>7</v>
      </c>
      <c r="I23" s="83">
        <v>12</v>
      </c>
      <c r="J23" s="83">
        <v>5</v>
      </c>
      <c r="K23" s="83">
        <v>7</v>
      </c>
      <c r="L23" s="83">
        <v>5</v>
      </c>
      <c r="M23" s="1">
        <v>16</v>
      </c>
      <c r="N23" s="1">
        <v>37</v>
      </c>
      <c r="O23" s="83">
        <v>8</v>
      </c>
      <c r="P23" s="83">
        <v>16</v>
      </c>
      <c r="Q23" s="83">
        <v>11</v>
      </c>
      <c r="R23" s="83">
        <v>24</v>
      </c>
      <c r="S23" s="83">
        <v>16</v>
      </c>
      <c r="T23" s="83">
        <v>12</v>
      </c>
      <c r="U23" s="83">
        <v>15</v>
      </c>
      <c r="V23" s="83">
        <v>16</v>
      </c>
      <c r="W23" s="1">
        <v>65</v>
      </c>
    </row>
    <row r="24" spans="1:33" s="3" customFormat="1" ht="16.5" thickBot="1" x14ac:dyDescent="0.3">
      <c r="A24" s="82" t="s">
        <v>258</v>
      </c>
      <c r="B24" s="82" t="s">
        <v>259</v>
      </c>
      <c r="C24" s="1">
        <v>18</v>
      </c>
      <c r="D24" s="1">
        <v>1</v>
      </c>
      <c r="E24" s="1">
        <v>2</v>
      </c>
      <c r="F24" s="83">
        <v>2</v>
      </c>
      <c r="G24" s="83">
        <v>4</v>
      </c>
      <c r="H24" s="83">
        <v>5</v>
      </c>
      <c r="I24" s="83">
        <v>2</v>
      </c>
      <c r="J24" s="83">
        <v>5</v>
      </c>
      <c r="K24" s="83">
        <v>6</v>
      </c>
      <c r="L24" s="83">
        <v>5</v>
      </c>
      <c r="M24" s="1">
        <v>17</v>
      </c>
      <c r="N24" s="1">
        <v>25</v>
      </c>
      <c r="O24" s="83">
        <v>10</v>
      </c>
      <c r="P24" s="83">
        <v>12</v>
      </c>
      <c r="Q24" s="83">
        <v>9</v>
      </c>
      <c r="R24" s="83">
        <v>12</v>
      </c>
      <c r="S24" s="83">
        <v>7</v>
      </c>
      <c r="T24" s="83">
        <v>14</v>
      </c>
      <c r="U24" s="83">
        <v>13</v>
      </c>
      <c r="V24" s="83">
        <v>11</v>
      </c>
      <c r="W24" s="1">
        <v>45.3</v>
      </c>
    </row>
    <row r="25" spans="1:33" s="3" customFormat="1" ht="16.5" thickBot="1" x14ac:dyDescent="0.3">
      <c r="A25" s="82" t="s">
        <v>156</v>
      </c>
      <c r="B25" s="82" t="s">
        <v>241</v>
      </c>
      <c r="C25" s="1">
        <v>21</v>
      </c>
      <c r="D25" s="1">
        <v>4</v>
      </c>
      <c r="E25" s="1">
        <v>2</v>
      </c>
      <c r="F25" s="83">
        <v>2</v>
      </c>
      <c r="G25" s="83">
        <v>1</v>
      </c>
      <c r="H25" s="83">
        <v>1</v>
      </c>
      <c r="I25" s="83">
        <v>12</v>
      </c>
      <c r="J25" s="83">
        <v>4</v>
      </c>
      <c r="K25" s="83">
        <v>6</v>
      </c>
      <c r="L25" s="83">
        <v>5</v>
      </c>
      <c r="M25" s="1">
        <v>13</v>
      </c>
      <c r="N25" s="1">
        <v>28</v>
      </c>
      <c r="O25" s="83">
        <v>9</v>
      </c>
      <c r="P25" s="83">
        <v>14</v>
      </c>
      <c r="Q25" s="83">
        <v>11</v>
      </c>
      <c r="R25" s="83">
        <v>12</v>
      </c>
      <c r="S25" s="83">
        <v>15</v>
      </c>
      <c r="T25" s="83">
        <v>7</v>
      </c>
      <c r="U25" s="83">
        <v>15</v>
      </c>
      <c r="V25" s="83">
        <v>4</v>
      </c>
      <c r="W25" s="1">
        <v>48.5</v>
      </c>
    </row>
    <row r="26" spans="1:33" s="3" customFormat="1" ht="16.5" thickBot="1" x14ac:dyDescent="0.3">
      <c r="A26" s="82" t="s">
        <v>310</v>
      </c>
      <c r="B26" s="82" t="s">
        <v>311</v>
      </c>
      <c r="C26" s="1">
        <v>29</v>
      </c>
      <c r="D26" s="1">
        <v>7</v>
      </c>
      <c r="E26" s="1">
        <v>4</v>
      </c>
      <c r="F26" s="83">
        <v>7</v>
      </c>
      <c r="G26" s="83">
        <v>5</v>
      </c>
      <c r="H26" s="83">
        <v>6</v>
      </c>
      <c r="I26" s="83">
        <v>14</v>
      </c>
      <c r="J26" s="83">
        <v>5</v>
      </c>
      <c r="K26" s="83">
        <v>5</v>
      </c>
      <c r="L26" s="83">
        <v>7</v>
      </c>
      <c r="M26" s="1">
        <v>14</v>
      </c>
      <c r="N26" s="1">
        <v>27</v>
      </c>
      <c r="O26" s="83">
        <v>10</v>
      </c>
      <c r="P26" s="83">
        <v>16</v>
      </c>
      <c r="Q26" s="83">
        <v>11</v>
      </c>
      <c r="R26" s="83">
        <v>10</v>
      </c>
      <c r="S26" s="83">
        <v>18</v>
      </c>
      <c r="T26" s="83">
        <v>14</v>
      </c>
      <c r="U26" s="83">
        <v>13</v>
      </c>
      <c r="V26" s="83">
        <v>5</v>
      </c>
      <c r="W26" s="1">
        <v>56.8</v>
      </c>
    </row>
    <row r="27" spans="1:33" s="3" customFormat="1" ht="16.5" thickBot="1" x14ac:dyDescent="0.3">
      <c r="A27" s="82" t="s">
        <v>300</v>
      </c>
      <c r="B27" s="82" t="s">
        <v>301</v>
      </c>
      <c r="C27" s="1">
        <v>9</v>
      </c>
      <c r="D27" s="1">
        <v>4</v>
      </c>
      <c r="E27" s="1">
        <v>18</v>
      </c>
      <c r="F27" s="83">
        <v>5</v>
      </c>
      <c r="G27" s="83">
        <v>6</v>
      </c>
      <c r="H27" s="83">
        <v>9</v>
      </c>
      <c r="I27" s="83">
        <v>12</v>
      </c>
      <c r="J27" s="83">
        <v>5</v>
      </c>
      <c r="K27" s="83">
        <v>8</v>
      </c>
      <c r="L27" s="83">
        <v>5</v>
      </c>
      <c r="M27" s="1">
        <v>13</v>
      </c>
      <c r="N27" s="1">
        <v>17</v>
      </c>
      <c r="O27" s="83">
        <v>12</v>
      </c>
      <c r="P27" s="83">
        <v>14</v>
      </c>
      <c r="Q27" s="83">
        <v>7</v>
      </c>
      <c r="R27" s="83">
        <v>10</v>
      </c>
      <c r="S27" s="83">
        <v>14</v>
      </c>
      <c r="T27" s="83">
        <v>15</v>
      </c>
      <c r="U27" s="83">
        <v>13</v>
      </c>
      <c r="V27" s="83">
        <v>13</v>
      </c>
      <c r="W27" s="1">
        <v>52.3</v>
      </c>
    </row>
    <row r="28" spans="1:33" s="3" customFormat="1" ht="16.5" thickBot="1" x14ac:dyDescent="0.3">
      <c r="A28" s="82" t="s">
        <v>271</v>
      </c>
      <c r="B28" s="82" t="s">
        <v>272</v>
      </c>
      <c r="C28" s="1">
        <v>11</v>
      </c>
      <c r="D28" s="1">
        <v>4</v>
      </c>
      <c r="E28" s="1">
        <v>16</v>
      </c>
      <c r="F28" s="83">
        <v>3</v>
      </c>
      <c r="G28" s="83">
        <v>3</v>
      </c>
      <c r="H28" s="83">
        <v>5</v>
      </c>
      <c r="I28" s="83">
        <v>12</v>
      </c>
      <c r="J28" s="83">
        <v>4</v>
      </c>
      <c r="K28" s="83">
        <v>6</v>
      </c>
      <c r="L28" s="83">
        <v>4</v>
      </c>
      <c r="M28" s="1">
        <v>11</v>
      </c>
      <c r="N28" s="1">
        <v>27</v>
      </c>
      <c r="O28" s="83">
        <v>8</v>
      </c>
      <c r="P28" s="83">
        <v>14</v>
      </c>
      <c r="Q28" s="83">
        <v>11</v>
      </c>
      <c r="R28" s="83">
        <v>3</v>
      </c>
      <c r="S28" s="83">
        <v>17</v>
      </c>
      <c r="T28" s="83">
        <v>11</v>
      </c>
      <c r="U28" s="83">
        <v>15</v>
      </c>
      <c r="V28" s="83">
        <v>14</v>
      </c>
      <c r="W28" s="1">
        <v>49.3</v>
      </c>
    </row>
    <row r="29" spans="1:33" s="3" customFormat="1" ht="16.5" thickBot="1" x14ac:dyDescent="0.3">
      <c r="A29" s="82" t="s">
        <v>260</v>
      </c>
      <c r="B29" s="82" t="s">
        <v>261</v>
      </c>
      <c r="C29" s="1">
        <v>31</v>
      </c>
      <c r="D29" s="1">
        <v>4</v>
      </c>
      <c r="E29" s="1">
        <v>10</v>
      </c>
      <c r="F29" s="83">
        <v>6</v>
      </c>
      <c r="G29" s="83">
        <v>7</v>
      </c>
      <c r="H29" s="83">
        <v>5</v>
      </c>
      <c r="I29" s="83">
        <v>12</v>
      </c>
      <c r="J29" s="83">
        <v>7</v>
      </c>
      <c r="K29" s="83">
        <v>7</v>
      </c>
      <c r="L29" s="83">
        <v>6</v>
      </c>
      <c r="M29" s="1">
        <v>8</v>
      </c>
      <c r="N29" s="1">
        <v>28</v>
      </c>
      <c r="O29" s="83">
        <v>16</v>
      </c>
      <c r="P29" s="83">
        <v>16</v>
      </c>
      <c r="Q29" s="83">
        <v>8</v>
      </c>
      <c r="R29" s="83">
        <v>30</v>
      </c>
      <c r="S29" s="83">
        <v>17</v>
      </c>
      <c r="T29" s="83">
        <v>16</v>
      </c>
      <c r="U29" s="83">
        <v>12</v>
      </c>
      <c r="V29" s="83">
        <v>13</v>
      </c>
      <c r="W29" s="1">
        <v>64.5</v>
      </c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3" customFormat="1" ht="16.5" thickBot="1" x14ac:dyDescent="0.3">
      <c r="A30" s="82" t="s">
        <v>335</v>
      </c>
      <c r="B30" s="82" t="s">
        <v>336</v>
      </c>
      <c r="C30" s="1">
        <v>25</v>
      </c>
      <c r="D30" s="1">
        <v>7</v>
      </c>
      <c r="E30" s="1">
        <v>16</v>
      </c>
      <c r="F30" s="83">
        <v>7</v>
      </c>
      <c r="G30" s="83">
        <v>9</v>
      </c>
      <c r="H30" s="83">
        <v>5</v>
      </c>
      <c r="I30" s="83">
        <v>12</v>
      </c>
      <c r="J30" s="83">
        <v>4</v>
      </c>
      <c r="K30" s="83">
        <v>7</v>
      </c>
      <c r="L30" s="83">
        <v>5</v>
      </c>
      <c r="M30" s="1">
        <v>14</v>
      </c>
      <c r="N30" s="1">
        <v>26</v>
      </c>
      <c r="O30" s="83">
        <v>17</v>
      </c>
      <c r="P30" s="83">
        <v>14</v>
      </c>
      <c r="Q30" s="83">
        <v>9</v>
      </c>
      <c r="R30" s="83">
        <v>3</v>
      </c>
      <c r="S30" s="83">
        <v>14</v>
      </c>
      <c r="T30" s="83">
        <v>11</v>
      </c>
      <c r="U30" s="83">
        <v>14</v>
      </c>
      <c r="V30" s="83">
        <v>9</v>
      </c>
      <c r="W30" s="1">
        <v>57</v>
      </c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3" customFormat="1" ht="16.5" thickBot="1" x14ac:dyDescent="0.3">
      <c r="A31" s="82" t="s">
        <v>263</v>
      </c>
      <c r="B31" s="82" t="s">
        <v>264</v>
      </c>
      <c r="C31" s="1">
        <v>25</v>
      </c>
      <c r="D31" s="1">
        <v>4</v>
      </c>
      <c r="E31" s="1">
        <v>16</v>
      </c>
      <c r="F31" s="83">
        <v>1</v>
      </c>
      <c r="G31" s="83">
        <v>6</v>
      </c>
      <c r="H31" s="83">
        <v>1</v>
      </c>
      <c r="I31" s="83">
        <v>2</v>
      </c>
      <c r="J31" s="83">
        <v>5</v>
      </c>
      <c r="K31" s="83">
        <v>7</v>
      </c>
      <c r="L31" s="83">
        <v>8</v>
      </c>
      <c r="M31" s="1">
        <v>13</v>
      </c>
      <c r="N31" s="1">
        <v>33</v>
      </c>
      <c r="O31" s="83">
        <v>18</v>
      </c>
      <c r="P31" s="83">
        <v>16</v>
      </c>
      <c r="Q31" s="83">
        <v>12</v>
      </c>
      <c r="R31" s="83">
        <v>3</v>
      </c>
      <c r="S31" s="83">
        <v>18</v>
      </c>
      <c r="T31" s="83">
        <v>15</v>
      </c>
      <c r="U31" s="83">
        <v>10</v>
      </c>
      <c r="V31" s="83">
        <v>11</v>
      </c>
      <c r="W31" s="1">
        <v>56.3</v>
      </c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3" customFormat="1" ht="16.5" thickBot="1" x14ac:dyDescent="0.3">
      <c r="A32" s="82" t="s">
        <v>306</v>
      </c>
      <c r="B32" s="82" t="s">
        <v>307</v>
      </c>
      <c r="C32" s="1">
        <v>22</v>
      </c>
      <c r="D32" s="1">
        <v>4</v>
      </c>
      <c r="E32" s="1">
        <v>4</v>
      </c>
      <c r="F32" s="83">
        <v>5</v>
      </c>
      <c r="G32" s="83">
        <v>4</v>
      </c>
      <c r="H32" s="83">
        <v>1</v>
      </c>
      <c r="I32" s="83">
        <v>2</v>
      </c>
      <c r="J32" s="83">
        <v>4</v>
      </c>
      <c r="K32" s="83">
        <v>7</v>
      </c>
      <c r="L32" s="83">
        <v>6</v>
      </c>
      <c r="M32" s="1">
        <v>12</v>
      </c>
      <c r="N32" s="1">
        <v>30</v>
      </c>
      <c r="O32" s="83">
        <v>19</v>
      </c>
      <c r="P32" s="83">
        <v>14</v>
      </c>
      <c r="Q32" s="83">
        <v>9</v>
      </c>
      <c r="R32" s="83">
        <v>11</v>
      </c>
      <c r="S32" s="83">
        <v>17</v>
      </c>
      <c r="T32" s="83">
        <v>15</v>
      </c>
      <c r="U32" s="83">
        <v>9</v>
      </c>
      <c r="V32" s="83">
        <v>13</v>
      </c>
      <c r="W32" s="1">
        <v>52</v>
      </c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3" customFormat="1" ht="16.5" thickBot="1" x14ac:dyDescent="0.3">
      <c r="A33" s="82" t="s">
        <v>244</v>
      </c>
      <c r="B33" s="82" t="s">
        <v>245</v>
      </c>
      <c r="C33" s="1">
        <v>7</v>
      </c>
      <c r="D33" s="1">
        <v>7</v>
      </c>
      <c r="E33" s="1">
        <v>4</v>
      </c>
      <c r="F33" s="83">
        <v>8</v>
      </c>
      <c r="G33" s="83">
        <v>5</v>
      </c>
      <c r="H33" s="83">
        <v>6</v>
      </c>
      <c r="I33" s="83">
        <v>8</v>
      </c>
      <c r="J33" s="83">
        <v>3</v>
      </c>
      <c r="K33" s="83">
        <v>6</v>
      </c>
      <c r="L33" s="83">
        <v>2</v>
      </c>
      <c r="M33" s="1">
        <v>17</v>
      </c>
      <c r="N33" s="1">
        <v>16</v>
      </c>
      <c r="O33" s="83">
        <v>11</v>
      </c>
      <c r="P33" s="83">
        <v>14</v>
      </c>
      <c r="Q33" s="83">
        <v>11</v>
      </c>
      <c r="R33" s="83">
        <v>15</v>
      </c>
      <c r="S33" s="83">
        <v>17</v>
      </c>
      <c r="T33" s="83">
        <v>7</v>
      </c>
      <c r="U33" s="83">
        <v>13</v>
      </c>
      <c r="V33" s="83">
        <v>11</v>
      </c>
      <c r="W33" s="1">
        <v>47.3</v>
      </c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3" customFormat="1" ht="16.5" thickBot="1" x14ac:dyDescent="0.3">
      <c r="A34" s="82" t="s">
        <v>252</v>
      </c>
      <c r="B34" s="82" t="s">
        <v>253</v>
      </c>
      <c r="C34" s="1">
        <v>18</v>
      </c>
      <c r="D34" s="1">
        <v>1</v>
      </c>
      <c r="E34" s="1">
        <v>12</v>
      </c>
      <c r="F34" s="83">
        <v>3</v>
      </c>
      <c r="G34" s="83">
        <v>3</v>
      </c>
      <c r="H34" s="83">
        <v>5</v>
      </c>
      <c r="I34" s="83">
        <v>8</v>
      </c>
      <c r="J34" s="83">
        <v>6</v>
      </c>
      <c r="K34" s="83">
        <v>5</v>
      </c>
      <c r="L34" s="83">
        <v>4</v>
      </c>
      <c r="M34" s="1">
        <v>14</v>
      </c>
      <c r="N34" s="1">
        <v>5</v>
      </c>
      <c r="O34" s="83">
        <v>14</v>
      </c>
      <c r="P34" s="83">
        <v>12</v>
      </c>
      <c r="Q34" s="83">
        <v>11</v>
      </c>
      <c r="R34" s="83">
        <v>11</v>
      </c>
      <c r="S34" s="83">
        <v>15</v>
      </c>
      <c r="T34" s="83">
        <v>0</v>
      </c>
      <c r="U34" s="83">
        <v>12</v>
      </c>
      <c r="V34" s="83">
        <v>13</v>
      </c>
      <c r="W34" s="1">
        <v>42.8</v>
      </c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3" customFormat="1" ht="16.5" thickBot="1" x14ac:dyDescent="0.3">
      <c r="A35" s="82" t="s">
        <v>265</v>
      </c>
      <c r="B35" s="82" t="s">
        <v>266</v>
      </c>
      <c r="C35" s="1">
        <v>33</v>
      </c>
      <c r="D35" s="1">
        <v>7</v>
      </c>
      <c r="E35" s="1">
        <v>10</v>
      </c>
      <c r="F35" s="83">
        <v>3</v>
      </c>
      <c r="G35" s="83">
        <v>7</v>
      </c>
      <c r="H35" s="83">
        <v>5</v>
      </c>
      <c r="I35" s="83">
        <v>10</v>
      </c>
      <c r="J35" s="83">
        <v>5</v>
      </c>
      <c r="K35" s="83">
        <v>7</v>
      </c>
      <c r="L35" s="83">
        <v>5</v>
      </c>
      <c r="M35" s="1">
        <v>6</v>
      </c>
      <c r="N35" s="1">
        <v>30</v>
      </c>
      <c r="O35" s="83">
        <v>10</v>
      </c>
      <c r="P35" s="83">
        <v>12</v>
      </c>
      <c r="Q35" s="83">
        <v>11</v>
      </c>
      <c r="R35" s="83">
        <v>23</v>
      </c>
      <c r="S35" s="83">
        <v>18</v>
      </c>
      <c r="T35" s="83">
        <v>8</v>
      </c>
      <c r="U35" s="83">
        <v>10</v>
      </c>
      <c r="V35" s="83">
        <v>12</v>
      </c>
      <c r="W35" s="1">
        <v>58</v>
      </c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s="3" customFormat="1" ht="16.5" thickBot="1" x14ac:dyDescent="0.3">
      <c r="A36" s="82" t="s">
        <v>284</v>
      </c>
      <c r="B36" s="82" t="s">
        <v>285</v>
      </c>
      <c r="C36" s="1">
        <v>31</v>
      </c>
      <c r="D36" s="1">
        <v>8</v>
      </c>
      <c r="E36" s="1">
        <v>14</v>
      </c>
      <c r="F36" s="83">
        <v>6</v>
      </c>
      <c r="G36" s="83">
        <v>3</v>
      </c>
      <c r="H36" s="83">
        <v>5</v>
      </c>
      <c r="I36" s="83">
        <v>10</v>
      </c>
      <c r="J36" s="83">
        <v>6</v>
      </c>
      <c r="K36" s="83">
        <v>7</v>
      </c>
      <c r="L36" s="83">
        <v>5</v>
      </c>
      <c r="M36" s="1">
        <v>12</v>
      </c>
      <c r="N36" s="1">
        <v>32</v>
      </c>
      <c r="O36" s="83">
        <v>18</v>
      </c>
      <c r="P36" s="83">
        <v>12</v>
      </c>
      <c r="Q36" s="83">
        <v>12</v>
      </c>
      <c r="R36" s="83">
        <v>3</v>
      </c>
      <c r="S36" s="83">
        <v>18</v>
      </c>
      <c r="T36" s="83">
        <v>4</v>
      </c>
      <c r="U36" s="83">
        <v>12</v>
      </c>
      <c r="V36" s="83"/>
      <c r="W36" s="1">
        <v>57.5</v>
      </c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s="3" customFormat="1" ht="16.5" thickBot="1" x14ac:dyDescent="0.3">
      <c r="A37" s="82" t="s">
        <v>317</v>
      </c>
      <c r="B37" s="82" t="s">
        <v>318</v>
      </c>
      <c r="C37" s="1">
        <v>22</v>
      </c>
      <c r="D37" s="1">
        <v>4</v>
      </c>
      <c r="E37" s="1">
        <v>8</v>
      </c>
      <c r="F37" s="83">
        <v>8</v>
      </c>
      <c r="G37" s="83">
        <v>1</v>
      </c>
      <c r="H37" s="83">
        <v>5</v>
      </c>
      <c r="I37" s="83">
        <v>10</v>
      </c>
      <c r="J37" s="83">
        <v>5</v>
      </c>
      <c r="K37" s="83">
        <v>7</v>
      </c>
      <c r="L37" s="83">
        <v>4</v>
      </c>
      <c r="M37" s="1">
        <v>19</v>
      </c>
      <c r="N37" s="1">
        <v>29</v>
      </c>
      <c r="O37" s="83">
        <v>15</v>
      </c>
      <c r="P37" s="83">
        <v>14</v>
      </c>
      <c r="Q37" s="83">
        <v>10</v>
      </c>
      <c r="R37" s="83">
        <v>12</v>
      </c>
      <c r="S37" s="83">
        <v>16</v>
      </c>
      <c r="T37" s="83">
        <v>8</v>
      </c>
      <c r="U37" s="83">
        <v>11</v>
      </c>
      <c r="V37" s="83">
        <v>11</v>
      </c>
      <c r="W37" s="1">
        <v>54.8</v>
      </c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s="3" customFormat="1" ht="16.5" thickBot="1" x14ac:dyDescent="0.3">
      <c r="A38" s="82" t="s">
        <v>239</v>
      </c>
      <c r="B38" s="82" t="s">
        <v>240</v>
      </c>
      <c r="C38" s="1">
        <v>20</v>
      </c>
      <c r="D38" s="1">
        <v>7</v>
      </c>
      <c r="E38" s="1">
        <v>4</v>
      </c>
      <c r="F38" s="83">
        <v>5</v>
      </c>
      <c r="G38" s="83">
        <v>5</v>
      </c>
      <c r="H38" s="83">
        <v>6</v>
      </c>
      <c r="I38" s="83">
        <v>10</v>
      </c>
      <c r="J38" s="83">
        <v>3</v>
      </c>
      <c r="K38" s="83">
        <v>5</v>
      </c>
      <c r="L38" s="83">
        <v>3</v>
      </c>
      <c r="M38" s="1">
        <v>5</v>
      </c>
      <c r="N38" s="1">
        <v>17</v>
      </c>
      <c r="O38" s="83">
        <v>11</v>
      </c>
      <c r="P38" s="83">
        <v>14</v>
      </c>
      <c r="Q38" s="83">
        <v>10</v>
      </c>
      <c r="R38" s="83">
        <v>24</v>
      </c>
      <c r="S38" s="83">
        <v>13</v>
      </c>
      <c r="T38" s="83">
        <v>3</v>
      </c>
      <c r="U38" s="83">
        <v>10</v>
      </c>
      <c r="V38" s="83">
        <v>7</v>
      </c>
      <c r="W38" s="1">
        <v>47.8</v>
      </c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s="3" customFormat="1" ht="16.5" thickBot="1" x14ac:dyDescent="0.3">
      <c r="A39" s="82" t="s">
        <v>294</v>
      </c>
      <c r="B39" s="82" t="s">
        <v>312</v>
      </c>
      <c r="C39" s="1">
        <v>25</v>
      </c>
      <c r="D39" s="1">
        <v>7</v>
      </c>
      <c r="E39" s="1">
        <v>14</v>
      </c>
      <c r="F39" s="83">
        <v>5</v>
      </c>
      <c r="G39" s="83">
        <v>7</v>
      </c>
      <c r="H39" s="83">
        <v>8</v>
      </c>
      <c r="I39" s="83">
        <v>14</v>
      </c>
      <c r="J39" s="83">
        <v>6</v>
      </c>
      <c r="K39" s="83">
        <v>8</v>
      </c>
      <c r="L39" s="83">
        <v>6</v>
      </c>
      <c r="M39" s="1">
        <v>26</v>
      </c>
      <c r="N39" s="1">
        <v>26</v>
      </c>
      <c r="O39" s="83">
        <v>8</v>
      </c>
      <c r="P39" s="83">
        <v>12</v>
      </c>
      <c r="Q39" s="83">
        <v>11</v>
      </c>
      <c r="R39" s="83">
        <v>21</v>
      </c>
      <c r="S39" s="83">
        <v>17</v>
      </c>
      <c r="T39" s="83">
        <v>14</v>
      </c>
      <c r="U39" s="83">
        <v>13</v>
      </c>
      <c r="V39" s="83">
        <v>14</v>
      </c>
      <c r="W39" s="1">
        <v>65.5</v>
      </c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s="3" customFormat="1" ht="16.5" thickBot="1" x14ac:dyDescent="0.3">
      <c r="A40" s="82" t="s">
        <v>254</v>
      </c>
      <c r="B40" s="82" t="s">
        <v>255</v>
      </c>
      <c r="C40" s="1">
        <v>23</v>
      </c>
      <c r="D40" s="1">
        <v>1</v>
      </c>
      <c r="E40" s="1">
        <v>2</v>
      </c>
      <c r="F40" s="83">
        <v>3</v>
      </c>
      <c r="G40" s="83">
        <v>2</v>
      </c>
      <c r="H40" s="83">
        <v>1</v>
      </c>
      <c r="I40" s="83">
        <v>14</v>
      </c>
      <c r="J40" s="83">
        <v>5</v>
      </c>
      <c r="K40" s="83">
        <v>7</v>
      </c>
      <c r="L40" s="83">
        <v>4</v>
      </c>
      <c r="M40" s="1">
        <v>14</v>
      </c>
      <c r="N40" s="1">
        <v>28</v>
      </c>
      <c r="O40" s="83">
        <v>14</v>
      </c>
      <c r="P40" s="83">
        <v>12</v>
      </c>
      <c r="Q40" s="83">
        <v>13</v>
      </c>
      <c r="R40" s="83">
        <v>29</v>
      </c>
      <c r="S40" s="83">
        <v>14</v>
      </c>
      <c r="T40" s="83">
        <v>10</v>
      </c>
      <c r="U40" s="83">
        <v>10</v>
      </c>
      <c r="V40" s="83">
        <v>5</v>
      </c>
      <c r="W40" s="1">
        <v>54.5</v>
      </c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s="3" customFormat="1" ht="16.5" thickBot="1" x14ac:dyDescent="0.3">
      <c r="A41" s="82" t="s">
        <v>246</v>
      </c>
      <c r="B41" s="82" t="s">
        <v>247</v>
      </c>
      <c r="C41" s="1">
        <v>27</v>
      </c>
      <c r="D41" s="1">
        <v>5</v>
      </c>
      <c r="E41" s="1">
        <v>12</v>
      </c>
      <c r="F41" s="83">
        <v>3</v>
      </c>
      <c r="G41" s="83">
        <v>4</v>
      </c>
      <c r="H41" s="83">
        <v>7</v>
      </c>
      <c r="I41" s="83">
        <v>10</v>
      </c>
      <c r="J41" s="83">
        <v>3</v>
      </c>
      <c r="K41" s="83">
        <v>3</v>
      </c>
      <c r="L41" s="83">
        <v>4</v>
      </c>
      <c r="M41" s="1">
        <v>8</v>
      </c>
      <c r="N41" s="1">
        <v>20</v>
      </c>
      <c r="O41" s="83">
        <v>8</v>
      </c>
      <c r="P41" s="83">
        <v>12</v>
      </c>
      <c r="Q41" s="83">
        <v>9</v>
      </c>
      <c r="R41" s="83">
        <v>12</v>
      </c>
      <c r="S41" s="83">
        <v>13</v>
      </c>
      <c r="T41" s="83">
        <v>13</v>
      </c>
      <c r="U41" s="83">
        <v>12</v>
      </c>
      <c r="V41" s="83">
        <v>12</v>
      </c>
      <c r="W41" s="1">
        <v>49.3</v>
      </c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s="3" customFormat="1" ht="16.5" thickBot="1" x14ac:dyDescent="0.3">
      <c r="A42" s="82" t="s">
        <v>293</v>
      </c>
      <c r="B42" s="82" t="s">
        <v>294</v>
      </c>
      <c r="C42" s="1">
        <v>34</v>
      </c>
      <c r="D42" s="1">
        <v>4</v>
      </c>
      <c r="E42" s="1">
        <v>6</v>
      </c>
      <c r="F42" s="83">
        <v>10</v>
      </c>
      <c r="G42" s="83">
        <v>9</v>
      </c>
      <c r="H42" s="83">
        <v>5</v>
      </c>
      <c r="I42" s="83">
        <v>10</v>
      </c>
      <c r="J42" s="83">
        <v>6</v>
      </c>
      <c r="K42" s="83">
        <v>6</v>
      </c>
      <c r="L42" s="83">
        <v>6</v>
      </c>
      <c r="M42" s="1">
        <v>13</v>
      </c>
      <c r="N42" s="1">
        <v>34</v>
      </c>
      <c r="O42" s="83">
        <v>19</v>
      </c>
      <c r="P42" s="83">
        <v>14</v>
      </c>
      <c r="Q42" s="83">
        <v>12</v>
      </c>
      <c r="R42" s="83">
        <v>27</v>
      </c>
      <c r="S42" s="83">
        <v>18</v>
      </c>
      <c r="T42" s="83">
        <v>15</v>
      </c>
      <c r="U42" s="83">
        <v>12</v>
      </c>
      <c r="V42" s="83">
        <v>14</v>
      </c>
      <c r="W42" s="1">
        <v>68.5</v>
      </c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s="3" customFormat="1" ht="16.5" thickBot="1" x14ac:dyDescent="0.3">
      <c r="A43" s="82" t="s">
        <v>293</v>
      </c>
      <c r="B43" s="82" t="s">
        <v>294</v>
      </c>
      <c r="C43" s="1">
        <v>12</v>
      </c>
      <c r="D43" s="1">
        <v>2</v>
      </c>
      <c r="E43" s="1">
        <v>6</v>
      </c>
      <c r="F43" s="83">
        <v>4</v>
      </c>
      <c r="G43" s="83">
        <v>2</v>
      </c>
      <c r="H43" s="83">
        <v>5</v>
      </c>
      <c r="I43" s="83">
        <v>5</v>
      </c>
      <c r="J43" s="83">
        <v>4</v>
      </c>
      <c r="K43" s="83">
        <v>5</v>
      </c>
      <c r="L43" s="83">
        <v>3</v>
      </c>
      <c r="M43" s="1">
        <v>16</v>
      </c>
      <c r="N43" s="1">
        <v>25</v>
      </c>
      <c r="O43" s="83">
        <v>9</v>
      </c>
      <c r="P43" s="83">
        <v>14</v>
      </c>
      <c r="Q43" s="83">
        <v>9</v>
      </c>
      <c r="R43" s="83">
        <v>18</v>
      </c>
      <c r="S43" s="83">
        <v>16</v>
      </c>
      <c r="T43" s="83">
        <v>14</v>
      </c>
      <c r="U43" s="83">
        <v>10</v>
      </c>
      <c r="V43" s="83">
        <v>11</v>
      </c>
      <c r="W43" s="1">
        <v>47.5</v>
      </c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s="3" customFormat="1" ht="16.5" thickBot="1" x14ac:dyDescent="0.3">
      <c r="A44" s="82" t="s">
        <v>250</v>
      </c>
      <c r="B44" s="82" t="s">
        <v>251</v>
      </c>
      <c r="C44" s="1">
        <v>24</v>
      </c>
      <c r="D44" s="1">
        <v>1</v>
      </c>
      <c r="E44" s="1">
        <v>4</v>
      </c>
      <c r="F44" s="83">
        <v>5</v>
      </c>
      <c r="G44" s="83">
        <v>6</v>
      </c>
      <c r="H44" s="83">
        <v>1</v>
      </c>
      <c r="I44" s="83">
        <v>10</v>
      </c>
      <c r="J44" s="83">
        <v>3</v>
      </c>
      <c r="K44" s="83">
        <v>7</v>
      </c>
      <c r="L44" s="83">
        <v>5</v>
      </c>
      <c r="M44" s="1">
        <v>15</v>
      </c>
      <c r="N44" s="1">
        <v>24</v>
      </c>
      <c r="O44" s="83">
        <v>14</v>
      </c>
      <c r="P44" s="83">
        <v>14</v>
      </c>
      <c r="Q44" s="83">
        <v>10</v>
      </c>
      <c r="R44" s="83">
        <v>26</v>
      </c>
      <c r="S44" s="83">
        <v>16</v>
      </c>
      <c r="T44" s="83">
        <v>5</v>
      </c>
      <c r="U44" s="83">
        <v>13</v>
      </c>
      <c r="V44" s="83">
        <v>13</v>
      </c>
      <c r="W44" s="1">
        <v>53.8</v>
      </c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s="3" customFormat="1" ht="16.5" thickBot="1" x14ac:dyDescent="0.3">
      <c r="A45" s="82" t="s">
        <v>269</v>
      </c>
      <c r="B45" s="82" t="s">
        <v>270</v>
      </c>
      <c r="C45" s="1">
        <v>15</v>
      </c>
      <c r="D45" s="1">
        <v>4</v>
      </c>
      <c r="E45" s="1">
        <v>4</v>
      </c>
      <c r="F45" s="83">
        <v>5</v>
      </c>
      <c r="G45" s="83">
        <v>1</v>
      </c>
      <c r="H45" s="83">
        <v>1</v>
      </c>
      <c r="I45" s="83">
        <v>14</v>
      </c>
      <c r="J45" s="83">
        <v>4</v>
      </c>
      <c r="K45" s="83">
        <v>6</v>
      </c>
      <c r="L45" s="83">
        <v>5</v>
      </c>
      <c r="M45" s="1">
        <v>17</v>
      </c>
      <c r="N45" s="1">
        <v>25</v>
      </c>
      <c r="O45" s="83">
        <v>15</v>
      </c>
      <c r="P45" s="83">
        <v>14</v>
      </c>
      <c r="Q45" s="83">
        <v>11</v>
      </c>
      <c r="R45" s="83">
        <v>24</v>
      </c>
      <c r="S45" s="83">
        <v>15</v>
      </c>
      <c r="T45" s="83">
        <v>8</v>
      </c>
      <c r="U45" s="83">
        <v>10</v>
      </c>
      <c r="V45" s="83">
        <v>14</v>
      </c>
      <c r="W45" s="1">
        <v>52.5</v>
      </c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thickBot="1" x14ac:dyDescent="0.3">
      <c r="A46" s="82" t="s">
        <v>331</v>
      </c>
      <c r="B46" s="82" t="s">
        <v>332</v>
      </c>
      <c r="C46" s="1">
        <v>27</v>
      </c>
      <c r="D46" s="1">
        <v>10</v>
      </c>
      <c r="E46" s="1">
        <v>16</v>
      </c>
      <c r="F46" s="83">
        <v>4</v>
      </c>
      <c r="G46" s="83">
        <v>5</v>
      </c>
      <c r="H46" s="83">
        <v>5</v>
      </c>
      <c r="I46" s="83">
        <v>5</v>
      </c>
      <c r="J46" s="83">
        <v>7</v>
      </c>
      <c r="K46" s="83">
        <v>6</v>
      </c>
      <c r="L46" s="83">
        <v>6</v>
      </c>
      <c r="M46" s="1">
        <v>19</v>
      </c>
      <c r="N46" s="1">
        <v>26</v>
      </c>
      <c r="O46" s="83">
        <v>11</v>
      </c>
      <c r="P46" s="83">
        <v>14</v>
      </c>
      <c r="Q46" s="83">
        <v>15</v>
      </c>
      <c r="R46" s="83">
        <v>3</v>
      </c>
      <c r="S46" s="83">
        <v>18</v>
      </c>
      <c r="T46" s="83">
        <v>15</v>
      </c>
      <c r="U46" s="83">
        <v>15</v>
      </c>
      <c r="V46" s="83">
        <v>14</v>
      </c>
      <c r="W46" s="1">
        <v>60.3</v>
      </c>
    </row>
    <row r="47" spans="1:33" ht="16.5" thickBot="1" x14ac:dyDescent="0.3">
      <c r="A47" s="82" t="s">
        <v>337</v>
      </c>
      <c r="B47" s="82" t="s">
        <v>338</v>
      </c>
      <c r="C47" s="1">
        <v>20</v>
      </c>
      <c r="D47" s="1">
        <v>3</v>
      </c>
      <c r="E47" s="1">
        <v>8</v>
      </c>
      <c r="F47" s="83">
        <v>3</v>
      </c>
      <c r="G47" s="83">
        <v>5</v>
      </c>
      <c r="H47" s="83">
        <v>1</v>
      </c>
      <c r="I47" s="83">
        <v>10</v>
      </c>
      <c r="J47" s="83">
        <v>4</v>
      </c>
      <c r="K47" s="83">
        <v>6</v>
      </c>
      <c r="L47" s="83">
        <v>3</v>
      </c>
      <c r="M47" s="1">
        <v>15</v>
      </c>
      <c r="N47" s="1">
        <v>24</v>
      </c>
      <c r="O47" s="83">
        <v>10</v>
      </c>
      <c r="P47" s="83">
        <v>10</v>
      </c>
      <c r="Q47" s="83">
        <v>9</v>
      </c>
      <c r="R47" s="83">
        <v>15</v>
      </c>
      <c r="S47" s="83">
        <v>17</v>
      </c>
      <c r="T47" s="83">
        <v>12</v>
      </c>
      <c r="U47" s="83">
        <v>9</v>
      </c>
      <c r="V47" s="83">
        <v>12</v>
      </c>
      <c r="W47" s="1">
        <v>49</v>
      </c>
    </row>
    <row r="48" spans="1:33" ht="16.5" thickBot="1" x14ac:dyDescent="0.3">
      <c r="A48" s="82" t="s">
        <v>304</v>
      </c>
      <c r="B48" s="82" t="s">
        <v>305</v>
      </c>
      <c r="C48" s="1">
        <v>31</v>
      </c>
      <c r="D48" s="1">
        <v>8</v>
      </c>
      <c r="E48" s="1">
        <v>12</v>
      </c>
      <c r="F48" s="83">
        <v>5</v>
      </c>
      <c r="G48" s="83">
        <v>8</v>
      </c>
      <c r="H48" s="83">
        <v>3</v>
      </c>
      <c r="I48" s="83">
        <v>14</v>
      </c>
      <c r="J48" s="83">
        <v>5</v>
      </c>
      <c r="K48" s="83">
        <v>7</v>
      </c>
      <c r="L48" s="83">
        <v>6</v>
      </c>
      <c r="M48" s="1">
        <v>15</v>
      </c>
      <c r="N48" s="1">
        <v>26</v>
      </c>
      <c r="O48" s="83">
        <v>15</v>
      </c>
      <c r="P48" s="83">
        <v>12</v>
      </c>
      <c r="Q48" s="83">
        <v>10</v>
      </c>
      <c r="R48" s="83">
        <v>12</v>
      </c>
      <c r="S48" s="83">
        <v>14</v>
      </c>
      <c r="T48" s="83">
        <v>13</v>
      </c>
      <c r="U48" s="83">
        <v>14</v>
      </c>
      <c r="V48" s="83">
        <v>12</v>
      </c>
      <c r="W48" s="1">
        <v>60.5</v>
      </c>
    </row>
    <row r="49" spans="1:23" ht="16.5" thickBot="1" x14ac:dyDescent="0.3">
      <c r="A49" s="82" t="s">
        <v>281</v>
      </c>
      <c r="B49" s="82" t="s">
        <v>282</v>
      </c>
      <c r="C49" s="1">
        <v>18</v>
      </c>
      <c r="D49" s="1">
        <v>7</v>
      </c>
      <c r="E49" s="1">
        <v>8</v>
      </c>
      <c r="F49" s="83">
        <v>5</v>
      </c>
      <c r="G49" s="83">
        <v>7</v>
      </c>
      <c r="H49" s="83">
        <v>3</v>
      </c>
      <c r="I49" s="83">
        <v>10</v>
      </c>
      <c r="J49" s="83">
        <v>5</v>
      </c>
      <c r="K49" s="83">
        <v>5</v>
      </c>
      <c r="L49" s="83">
        <v>8</v>
      </c>
      <c r="M49" s="1">
        <v>6</v>
      </c>
      <c r="N49" s="1">
        <v>25</v>
      </c>
      <c r="O49" s="83">
        <v>8</v>
      </c>
      <c r="P49" s="83">
        <v>14</v>
      </c>
      <c r="Q49" s="83">
        <v>8</v>
      </c>
      <c r="R49" s="83">
        <v>12</v>
      </c>
      <c r="S49" s="83">
        <v>16</v>
      </c>
      <c r="T49" s="83">
        <v>0</v>
      </c>
      <c r="U49" s="83">
        <v>13</v>
      </c>
      <c r="V49" s="83">
        <v>12</v>
      </c>
      <c r="W49" s="1">
        <v>47.5</v>
      </c>
    </row>
    <row r="50" spans="1:23" ht="16.5" thickBot="1" x14ac:dyDescent="0.3">
      <c r="A50" s="82" t="s">
        <v>237</v>
      </c>
      <c r="B50" s="82" t="s">
        <v>238</v>
      </c>
      <c r="C50" s="1">
        <v>13</v>
      </c>
      <c r="D50" s="1">
        <v>3</v>
      </c>
      <c r="E50" s="1">
        <v>4</v>
      </c>
      <c r="F50" s="83">
        <v>4</v>
      </c>
      <c r="G50" s="83">
        <v>6</v>
      </c>
      <c r="H50" s="83">
        <v>5</v>
      </c>
      <c r="I50" s="83">
        <v>10</v>
      </c>
      <c r="J50" s="83">
        <v>4</v>
      </c>
      <c r="K50" s="83">
        <v>6</v>
      </c>
      <c r="L50" s="83">
        <v>4</v>
      </c>
      <c r="M50" s="1">
        <v>6</v>
      </c>
      <c r="N50" s="1">
        <v>25</v>
      </c>
      <c r="O50" s="83">
        <v>10</v>
      </c>
      <c r="P50" s="83">
        <v>12</v>
      </c>
      <c r="Q50" s="83">
        <v>9</v>
      </c>
      <c r="R50" s="83">
        <v>15</v>
      </c>
      <c r="S50" s="83">
        <v>15</v>
      </c>
      <c r="T50" s="83">
        <v>11</v>
      </c>
      <c r="U50" s="83">
        <v>12</v>
      </c>
      <c r="V50" s="83">
        <v>5</v>
      </c>
      <c r="W50" s="3">
        <v>46.8</v>
      </c>
    </row>
    <row r="51" spans="1:23" ht="16.5" thickBot="1" x14ac:dyDescent="0.3">
      <c r="A51" s="82" t="s">
        <v>256</v>
      </c>
      <c r="B51" s="82" t="s">
        <v>257</v>
      </c>
      <c r="C51" s="1">
        <v>30</v>
      </c>
      <c r="D51" s="1">
        <v>7</v>
      </c>
      <c r="E51" s="1">
        <v>13</v>
      </c>
      <c r="F51" s="83">
        <v>4</v>
      </c>
      <c r="G51" s="83">
        <v>9</v>
      </c>
      <c r="H51" s="83">
        <v>8</v>
      </c>
      <c r="I51" s="83">
        <v>16</v>
      </c>
      <c r="J51" s="83">
        <v>6</v>
      </c>
      <c r="K51" s="83">
        <v>8</v>
      </c>
      <c r="L51" s="83">
        <v>7</v>
      </c>
      <c r="M51" s="1">
        <v>26</v>
      </c>
      <c r="N51" s="1">
        <v>32</v>
      </c>
      <c r="O51" s="83">
        <v>19</v>
      </c>
      <c r="P51" s="83">
        <v>14</v>
      </c>
      <c r="Q51" s="83">
        <v>11</v>
      </c>
      <c r="R51" s="83">
        <v>24</v>
      </c>
      <c r="S51" s="83">
        <v>14</v>
      </c>
      <c r="T51" s="83">
        <v>15</v>
      </c>
      <c r="U51" s="83">
        <v>14</v>
      </c>
      <c r="V51" s="83">
        <v>13</v>
      </c>
      <c r="W51" s="1">
        <v>72.3</v>
      </c>
    </row>
    <row r="52" spans="1:23" ht="16.5" thickBot="1" x14ac:dyDescent="0.3">
      <c r="A52" s="82" t="s">
        <v>297</v>
      </c>
      <c r="B52" s="82" t="s">
        <v>254</v>
      </c>
      <c r="C52" s="1">
        <v>27</v>
      </c>
      <c r="D52" s="1">
        <v>4</v>
      </c>
      <c r="E52" s="1">
        <v>2</v>
      </c>
      <c r="F52" s="83">
        <v>5</v>
      </c>
      <c r="G52" s="83">
        <v>1</v>
      </c>
      <c r="H52" s="83">
        <v>6</v>
      </c>
      <c r="I52" s="83">
        <v>10</v>
      </c>
      <c r="J52" s="83">
        <v>3</v>
      </c>
      <c r="K52" s="83">
        <v>5</v>
      </c>
      <c r="L52" s="83">
        <v>7</v>
      </c>
      <c r="M52" s="1">
        <v>17</v>
      </c>
      <c r="N52" s="1">
        <v>29</v>
      </c>
      <c r="O52" s="83">
        <v>8</v>
      </c>
      <c r="P52" s="83">
        <v>12</v>
      </c>
      <c r="Q52" s="83">
        <v>10</v>
      </c>
      <c r="R52" s="83">
        <v>21</v>
      </c>
      <c r="S52" s="83">
        <v>16</v>
      </c>
      <c r="T52" s="83">
        <v>11</v>
      </c>
      <c r="U52" s="83">
        <v>12</v>
      </c>
      <c r="V52" s="83">
        <v>12</v>
      </c>
      <c r="W52" s="1">
        <v>54.5</v>
      </c>
    </row>
    <row r="53" spans="1:23" ht="16.5" thickBot="1" x14ac:dyDescent="0.3">
      <c r="A53" s="82" t="s">
        <v>212</v>
      </c>
      <c r="B53" s="82" t="s">
        <v>283</v>
      </c>
      <c r="C53" s="1">
        <v>22</v>
      </c>
      <c r="D53" s="1">
        <v>7</v>
      </c>
      <c r="E53" s="1">
        <v>2</v>
      </c>
      <c r="F53" s="83">
        <v>8</v>
      </c>
      <c r="G53" s="83">
        <v>2</v>
      </c>
      <c r="H53" s="83">
        <v>1</v>
      </c>
      <c r="I53" s="83">
        <v>12</v>
      </c>
      <c r="J53" s="83">
        <v>7</v>
      </c>
      <c r="K53" s="83">
        <v>7</v>
      </c>
      <c r="L53" s="83">
        <v>5</v>
      </c>
      <c r="M53" s="1">
        <v>19</v>
      </c>
      <c r="N53" s="1">
        <v>24</v>
      </c>
      <c r="O53" s="83">
        <v>8</v>
      </c>
      <c r="P53" s="83">
        <v>14</v>
      </c>
      <c r="Q53" s="83">
        <v>9</v>
      </c>
      <c r="R53" s="83">
        <v>15</v>
      </c>
      <c r="S53" s="83">
        <v>14</v>
      </c>
      <c r="T53" s="83">
        <v>9</v>
      </c>
      <c r="U53" s="83">
        <v>14</v>
      </c>
      <c r="V53" s="83">
        <v>14</v>
      </c>
      <c r="W53" s="1">
        <v>52.8</v>
      </c>
    </row>
    <row r="54" spans="1:23" ht="16.5" thickBot="1" x14ac:dyDescent="0.3">
      <c r="A54" s="82" t="s">
        <v>286</v>
      </c>
      <c r="B54" s="82" t="s">
        <v>287</v>
      </c>
      <c r="C54" s="1">
        <v>12</v>
      </c>
      <c r="D54" s="1">
        <v>1</v>
      </c>
      <c r="E54" s="1">
        <v>4</v>
      </c>
      <c r="F54" s="83">
        <v>3</v>
      </c>
      <c r="G54" s="83">
        <v>8</v>
      </c>
      <c r="H54" s="83">
        <v>4</v>
      </c>
      <c r="I54" s="83">
        <v>6</v>
      </c>
      <c r="J54" s="83">
        <v>4</v>
      </c>
      <c r="K54" s="83">
        <v>8</v>
      </c>
      <c r="L54" s="83">
        <v>5</v>
      </c>
      <c r="M54" s="1">
        <v>20</v>
      </c>
      <c r="N54" s="1">
        <v>21</v>
      </c>
      <c r="O54" s="83">
        <v>9</v>
      </c>
      <c r="P54" s="83">
        <v>14</v>
      </c>
      <c r="Q54" s="83">
        <v>11</v>
      </c>
      <c r="R54" s="83">
        <v>18</v>
      </c>
      <c r="S54" s="83">
        <v>12</v>
      </c>
      <c r="T54" s="83">
        <v>11</v>
      </c>
      <c r="U54" s="83">
        <v>15</v>
      </c>
      <c r="V54" s="83">
        <v>6</v>
      </c>
      <c r="W54" s="1">
        <v>48</v>
      </c>
    </row>
    <row r="55" spans="1:23" ht="16.5" thickBot="1" x14ac:dyDescent="0.3">
      <c r="A55" s="82" t="s">
        <v>302</v>
      </c>
      <c r="B55" s="82" t="s">
        <v>303</v>
      </c>
      <c r="C55" s="1">
        <v>21</v>
      </c>
      <c r="D55" s="1">
        <v>4</v>
      </c>
      <c r="E55" s="1">
        <v>10</v>
      </c>
      <c r="F55" s="83">
        <v>5</v>
      </c>
      <c r="G55" s="83">
        <v>1</v>
      </c>
      <c r="H55" s="83">
        <v>3</v>
      </c>
      <c r="I55" s="83">
        <v>10</v>
      </c>
      <c r="J55" s="83">
        <v>4</v>
      </c>
      <c r="K55" s="83">
        <v>7</v>
      </c>
      <c r="L55" s="83">
        <v>3</v>
      </c>
      <c r="M55" s="1">
        <v>18</v>
      </c>
      <c r="N55" s="1">
        <v>25</v>
      </c>
      <c r="O55" s="83">
        <v>11</v>
      </c>
      <c r="P55" s="83">
        <v>14</v>
      </c>
      <c r="Q55" s="83">
        <v>9</v>
      </c>
      <c r="R55" s="83">
        <v>27</v>
      </c>
      <c r="S55" s="83">
        <v>17</v>
      </c>
      <c r="T55" s="83">
        <v>12</v>
      </c>
      <c r="U55" s="83">
        <v>11</v>
      </c>
      <c r="V55" s="83">
        <v>12</v>
      </c>
      <c r="W55" s="1">
        <v>56</v>
      </c>
    </row>
    <row r="56" spans="1:23" ht="16.5" thickBot="1" x14ac:dyDescent="0.3">
      <c r="A56" s="82" t="s">
        <v>262</v>
      </c>
      <c r="B56" s="82" t="s">
        <v>52</v>
      </c>
      <c r="C56" s="1">
        <v>19</v>
      </c>
      <c r="D56" s="1">
        <v>4</v>
      </c>
      <c r="E56" s="1">
        <v>16</v>
      </c>
      <c r="F56" s="83">
        <v>4</v>
      </c>
      <c r="G56" s="83">
        <v>4</v>
      </c>
      <c r="H56" s="83">
        <v>6</v>
      </c>
      <c r="I56" s="83">
        <v>6</v>
      </c>
      <c r="J56" s="83">
        <v>4</v>
      </c>
      <c r="K56" s="83">
        <v>6</v>
      </c>
      <c r="L56" s="83">
        <v>6</v>
      </c>
      <c r="M56" s="1">
        <v>23</v>
      </c>
      <c r="N56" s="1">
        <v>32</v>
      </c>
      <c r="O56" s="83">
        <v>10</v>
      </c>
      <c r="P56" s="83">
        <v>12</v>
      </c>
      <c r="Q56" s="83">
        <v>12</v>
      </c>
      <c r="R56" s="83">
        <v>27</v>
      </c>
      <c r="S56" s="83">
        <v>15</v>
      </c>
      <c r="T56" s="83">
        <v>15</v>
      </c>
      <c r="U56" s="83">
        <v>12</v>
      </c>
      <c r="V56" s="83">
        <v>12</v>
      </c>
      <c r="W56" s="1">
        <v>61.3</v>
      </c>
    </row>
    <row r="57" spans="1:23" ht="16.5" thickBot="1" x14ac:dyDescent="0.3">
      <c r="A57" s="82" t="s">
        <v>321</v>
      </c>
      <c r="B57" s="82" t="s">
        <v>322</v>
      </c>
      <c r="C57" s="1">
        <v>19</v>
      </c>
      <c r="D57" s="1">
        <v>4</v>
      </c>
      <c r="E57" s="1">
        <v>2</v>
      </c>
      <c r="F57" s="83">
        <v>1</v>
      </c>
      <c r="G57" s="83">
        <v>1</v>
      </c>
      <c r="H57" s="83">
        <v>5</v>
      </c>
      <c r="I57" s="83">
        <v>2</v>
      </c>
      <c r="J57" s="83">
        <v>4</v>
      </c>
      <c r="K57" s="83">
        <v>9</v>
      </c>
      <c r="L57" s="83">
        <v>3</v>
      </c>
      <c r="M57" s="1">
        <v>15</v>
      </c>
      <c r="N57" s="1">
        <v>25</v>
      </c>
      <c r="O57" s="83">
        <v>10</v>
      </c>
      <c r="P57" s="83">
        <v>10</v>
      </c>
      <c r="Q57" s="83">
        <v>11</v>
      </c>
      <c r="R57" s="83">
        <v>15</v>
      </c>
      <c r="S57" s="83">
        <v>15</v>
      </c>
      <c r="T57" s="83">
        <v>9</v>
      </c>
      <c r="U57" s="83">
        <v>14</v>
      </c>
      <c r="V57" s="83">
        <v>12</v>
      </c>
      <c r="W57" s="1">
        <v>46.5</v>
      </c>
    </row>
    <row r="58" spans="1:23" ht="16.5" thickBot="1" x14ac:dyDescent="0.3">
      <c r="A58" s="82" t="s">
        <v>333</v>
      </c>
      <c r="B58" s="82" t="s">
        <v>334</v>
      </c>
      <c r="C58" s="1">
        <v>31</v>
      </c>
      <c r="D58" s="1">
        <v>7</v>
      </c>
      <c r="E58" s="1">
        <v>6</v>
      </c>
      <c r="F58" s="83">
        <v>4</v>
      </c>
      <c r="G58" s="83">
        <v>6</v>
      </c>
      <c r="H58" s="83">
        <v>9</v>
      </c>
      <c r="I58" s="83">
        <v>16</v>
      </c>
      <c r="J58" s="83">
        <v>7</v>
      </c>
      <c r="K58" s="83">
        <v>8</v>
      </c>
      <c r="L58" s="83">
        <v>8</v>
      </c>
      <c r="M58" s="1">
        <v>20</v>
      </c>
      <c r="N58" s="1">
        <v>29</v>
      </c>
      <c r="O58" s="83">
        <v>15</v>
      </c>
      <c r="P58" s="83">
        <v>14</v>
      </c>
      <c r="Q58" s="83">
        <v>11</v>
      </c>
      <c r="R58" s="83">
        <v>12</v>
      </c>
      <c r="S58" s="83">
        <v>13</v>
      </c>
      <c r="T58" s="83">
        <v>10</v>
      </c>
      <c r="U58" s="83">
        <v>13</v>
      </c>
      <c r="V58" s="83">
        <v>14</v>
      </c>
      <c r="W58" s="1">
        <v>63.3</v>
      </c>
    </row>
    <row r="59" spans="1:23" ht="16.5" thickBot="1" x14ac:dyDescent="0.3">
      <c r="A59" s="82" t="s">
        <v>242</v>
      </c>
      <c r="B59" s="82" t="s">
        <v>243</v>
      </c>
      <c r="C59" s="1">
        <v>7</v>
      </c>
      <c r="D59" s="1">
        <v>3</v>
      </c>
      <c r="E59" s="1">
        <v>2</v>
      </c>
      <c r="F59" s="83">
        <v>6</v>
      </c>
      <c r="G59" s="83">
        <v>1</v>
      </c>
      <c r="H59" s="83">
        <v>5</v>
      </c>
      <c r="I59" s="83">
        <v>10</v>
      </c>
      <c r="J59" s="83">
        <v>4</v>
      </c>
      <c r="K59" s="83">
        <v>3</v>
      </c>
      <c r="L59" s="83">
        <v>6</v>
      </c>
      <c r="M59" s="1">
        <v>8</v>
      </c>
      <c r="N59" s="1">
        <v>31</v>
      </c>
      <c r="O59" s="83">
        <v>10</v>
      </c>
      <c r="P59" s="83">
        <v>14</v>
      </c>
      <c r="Q59" s="83">
        <v>10</v>
      </c>
      <c r="R59" s="83">
        <v>12</v>
      </c>
      <c r="S59" s="83">
        <v>15</v>
      </c>
      <c r="T59" s="83">
        <v>10</v>
      </c>
      <c r="U59" s="83">
        <v>15</v>
      </c>
      <c r="V59" s="83">
        <v>14</v>
      </c>
      <c r="W59" s="1">
        <v>46</v>
      </c>
    </row>
    <row r="60" spans="1:23" ht="16.5" thickBot="1" x14ac:dyDescent="0.3">
      <c r="A60" s="82" t="s">
        <v>235</v>
      </c>
      <c r="B60" s="82" t="s">
        <v>236</v>
      </c>
      <c r="C60" s="1">
        <v>7</v>
      </c>
      <c r="D60" s="1">
        <v>1</v>
      </c>
      <c r="E60" s="1">
        <v>4</v>
      </c>
      <c r="F60" s="83">
        <v>3</v>
      </c>
      <c r="G60" s="83">
        <v>5</v>
      </c>
      <c r="H60" s="83">
        <v>1</v>
      </c>
      <c r="I60" s="83">
        <v>12</v>
      </c>
      <c r="J60" s="83">
        <v>6</v>
      </c>
      <c r="K60" s="83">
        <v>5</v>
      </c>
      <c r="L60" s="83">
        <v>7</v>
      </c>
      <c r="M60" s="1">
        <v>12</v>
      </c>
      <c r="N60" s="1">
        <v>11</v>
      </c>
      <c r="O60" s="83">
        <v>9</v>
      </c>
      <c r="P60" s="83">
        <v>12</v>
      </c>
      <c r="Q60" s="83">
        <v>11</v>
      </c>
      <c r="R60" s="83">
        <v>10</v>
      </c>
      <c r="S60" s="83">
        <v>15</v>
      </c>
      <c r="T60" s="83">
        <v>10</v>
      </c>
      <c r="U60" s="83">
        <v>12</v>
      </c>
      <c r="V60" s="83">
        <v>14</v>
      </c>
      <c r="W60" s="3">
        <v>40.5</v>
      </c>
    </row>
    <row r="61" spans="1:23" ht="16.5" thickBot="1" x14ac:dyDescent="0.3">
      <c r="A61" s="82" t="s">
        <v>257</v>
      </c>
      <c r="B61" s="82" t="s">
        <v>295</v>
      </c>
      <c r="C61" s="1">
        <v>26</v>
      </c>
      <c r="D61" s="1">
        <v>7</v>
      </c>
      <c r="E61" s="1">
        <v>4</v>
      </c>
      <c r="F61" s="83">
        <v>6</v>
      </c>
      <c r="G61" s="83">
        <v>7</v>
      </c>
      <c r="H61" s="83">
        <v>7</v>
      </c>
      <c r="I61" s="83">
        <v>12</v>
      </c>
      <c r="J61" s="83">
        <v>5</v>
      </c>
      <c r="K61" s="83">
        <v>9</v>
      </c>
      <c r="L61" s="83">
        <v>7</v>
      </c>
      <c r="M61" s="1">
        <v>17</v>
      </c>
      <c r="N61" s="1">
        <v>28</v>
      </c>
      <c r="O61" s="83">
        <v>19</v>
      </c>
      <c r="P61" s="83">
        <v>16</v>
      </c>
      <c r="Q61" s="83">
        <v>11</v>
      </c>
      <c r="R61" s="83">
        <v>15</v>
      </c>
      <c r="S61" s="83">
        <v>17</v>
      </c>
      <c r="T61" s="83">
        <v>9</v>
      </c>
      <c r="U61" s="83">
        <v>13</v>
      </c>
      <c r="V61" s="83">
        <v>12</v>
      </c>
      <c r="W61" s="1">
        <v>61.8</v>
      </c>
    </row>
    <row r="62" spans="1:23" ht="16.5" thickBot="1" x14ac:dyDescent="0.3">
      <c r="A62" s="82" t="s">
        <v>232</v>
      </c>
      <c r="B62" s="82" t="s">
        <v>233</v>
      </c>
      <c r="C62" s="90">
        <v>31</v>
      </c>
      <c r="D62" s="90">
        <v>4</v>
      </c>
      <c r="E62" s="90">
        <v>14</v>
      </c>
      <c r="F62" s="54">
        <v>3</v>
      </c>
      <c r="G62" s="54">
        <v>5</v>
      </c>
      <c r="H62" s="54">
        <v>5</v>
      </c>
      <c r="I62" s="54">
        <v>14</v>
      </c>
      <c r="J62" s="54">
        <v>5</v>
      </c>
      <c r="K62" s="54">
        <v>9</v>
      </c>
      <c r="L62" s="54">
        <v>8</v>
      </c>
      <c r="M62" s="90">
        <v>26</v>
      </c>
      <c r="N62" s="90">
        <v>27</v>
      </c>
      <c r="O62" s="54">
        <v>8</v>
      </c>
      <c r="P62" s="54">
        <v>14</v>
      </c>
      <c r="Q62" s="54">
        <v>10</v>
      </c>
      <c r="R62" s="54">
        <v>24</v>
      </c>
      <c r="S62" s="54">
        <v>15</v>
      </c>
      <c r="T62" s="54">
        <v>16</v>
      </c>
      <c r="U62" s="54">
        <v>15</v>
      </c>
      <c r="V62" s="54">
        <v>12</v>
      </c>
      <c r="W62" s="90">
        <v>64.5</v>
      </c>
    </row>
    <row r="63" spans="1:23" ht="16.5" thickBot="1" x14ac:dyDescent="0.3">
      <c r="A63" s="82" t="s">
        <v>288</v>
      </c>
      <c r="B63" s="82" t="s">
        <v>10</v>
      </c>
      <c r="C63" s="1">
        <v>27</v>
      </c>
      <c r="D63" s="1">
        <v>4</v>
      </c>
      <c r="E63" s="1">
        <v>14</v>
      </c>
      <c r="F63" s="83">
        <v>3</v>
      </c>
      <c r="G63" s="83">
        <v>1</v>
      </c>
      <c r="H63" s="83">
        <v>5</v>
      </c>
      <c r="I63" s="83">
        <v>12</v>
      </c>
      <c r="J63" s="83">
        <v>3</v>
      </c>
      <c r="K63" s="83">
        <v>4</v>
      </c>
      <c r="L63" s="83">
        <v>6</v>
      </c>
      <c r="M63" s="1">
        <v>9</v>
      </c>
      <c r="N63" s="1">
        <v>25</v>
      </c>
      <c r="O63" s="83">
        <v>9</v>
      </c>
      <c r="P63" s="83">
        <v>14</v>
      </c>
      <c r="Q63" s="83">
        <v>11</v>
      </c>
      <c r="R63" s="83">
        <v>3</v>
      </c>
      <c r="S63" s="83">
        <v>10</v>
      </c>
      <c r="T63" s="83">
        <v>0</v>
      </c>
      <c r="U63" s="83">
        <v>15</v>
      </c>
      <c r="V63" s="83">
        <v>12</v>
      </c>
      <c r="W63" s="1">
        <v>46.8</v>
      </c>
    </row>
    <row r="64" spans="1:23" ht="16.5" thickBot="1" x14ac:dyDescent="0.3">
      <c r="A64" s="82" t="s">
        <v>313</v>
      </c>
      <c r="B64" s="82" t="s">
        <v>314</v>
      </c>
      <c r="C64" s="1">
        <v>29</v>
      </c>
      <c r="D64" s="1">
        <v>7</v>
      </c>
      <c r="E64" s="1">
        <v>4</v>
      </c>
      <c r="F64" s="83">
        <v>2</v>
      </c>
      <c r="G64" s="83">
        <v>2</v>
      </c>
      <c r="H64" s="83">
        <v>5</v>
      </c>
      <c r="I64" s="83">
        <v>10</v>
      </c>
      <c r="J64" s="83">
        <v>5</v>
      </c>
      <c r="K64" s="83">
        <v>7</v>
      </c>
      <c r="L64" s="83">
        <v>7</v>
      </c>
      <c r="M64" s="1">
        <v>17</v>
      </c>
      <c r="N64" s="1">
        <v>25</v>
      </c>
      <c r="O64" s="83">
        <v>19</v>
      </c>
      <c r="P64" s="83">
        <v>16</v>
      </c>
      <c r="Q64" s="83">
        <v>12</v>
      </c>
      <c r="R64" s="83">
        <v>2</v>
      </c>
      <c r="S64" s="83">
        <v>11</v>
      </c>
      <c r="T64" s="83">
        <v>13</v>
      </c>
      <c r="U64" s="83">
        <v>14</v>
      </c>
      <c r="V64" s="83">
        <v>14</v>
      </c>
      <c r="W64" s="1">
        <v>55.3</v>
      </c>
    </row>
    <row r="65" spans="1:23" x14ac:dyDescent="0.25">
      <c r="A65" s="93" t="s">
        <v>321</v>
      </c>
      <c r="B65" s="93" t="s">
        <v>351</v>
      </c>
      <c r="C65" s="94">
        <v>8</v>
      </c>
      <c r="D65" s="94">
        <v>7</v>
      </c>
      <c r="E65" s="94">
        <v>4</v>
      </c>
      <c r="F65" s="95">
        <v>7</v>
      </c>
      <c r="G65" s="95">
        <v>5</v>
      </c>
      <c r="H65" s="95">
        <v>5</v>
      </c>
      <c r="I65" s="95">
        <v>4</v>
      </c>
      <c r="J65" s="95">
        <v>4</v>
      </c>
      <c r="K65" s="95">
        <v>5</v>
      </c>
      <c r="L65" s="95">
        <v>5</v>
      </c>
      <c r="M65" s="94">
        <v>17</v>
      </c>
      <c r="N65" s="94">
        <v>26</v>
      </c>
      <c r="O65" s="95">
        <v>15</v>
      </c>
      <c r="P65" s="95">
        <v>12</v>
      </c>
      <c r="Q65" s="95">
        <v>10</v>
      </c>
      <c r="R65" s="95">
        <v>12</v>
      </c>
      <c r="S65" s="95">
        <v>14</v>
      </c>
      <c r="T65" s="95">
        <v>14</v>
      </c>
      <c r="U65" s="95">
        <v>12</v>
      </c>
      <c r="V65" s="95">
        <v>5</v>
      </c>
      <c r="W65" s="94"/>
    </row>
    <row r="66" spans="1:23" x14ac:dyDescent="0.25">
      <c r="A66" s="93" t="s">
        <v>354</v>
      </c>
      <c r="B66" s="93" t="s">
        <v>355</v>
      </c>
      <c r="C66" s="94">
        <v>40</v>
      </c>
      <c r="D66" s="94">
        <v>10</v>
      </c>
      <c r="E66" s="94">
        <v>10</v>
      </c>
      <c r="F66" s="95">
        <v>10</v>
      </c>
      <c r="G66" s="95">
        <v>5</v>
      </c>
      <c r="H66" s="95">
        <v>5</v>
      </c>
      <c r="I66" s="95">
        <v>14</v>
      </c>
      <c r="J66" s="95">
        <v>8</v>
      </c>
      <c r="K66" s="95">
        <v>7</v>
      </c>
      <c r="L66" s="95">
        <v>7</v>
      </c>
      <c r="M66" s="94">
        <v>23</v>
      </c>
      <c r="N66" s="94">
        <v>29</v>
      </c>
      <c r="O66" s="95">
        <v>15</v>
      </c>
      <c r="P66" s="95">
        <v>14</v>
      </c>
      <c r="Q66" s="95">
        <v>15</v>
      </c>
      <c r="R66" s="95">
        <v>18</v>
      </c>
      <c r="S66" s="95">
        <v>15</v>
      </c>
      <c r="T66" s="95">
        <v>14</v>
      </c>
      <c r="U66" s="95">
        <v>13</v>
      </c>
      <c r="V66" s="95">
        <v>13</v>
      </c>
      <c r="W66" s="94"/>
    </row>
    <row r="67" spans="1:23" x14ac:dyDescent="0.25">
      <c r="A67" s="93" t="s">
        <v>344</v>
      </c>
      <c r="B67" s="93" t="s">
        <v>345</v>
      </c>
      <c r="C67" s="94">
        <v>18</v>
      </c>
      <c r="D67" s="94">
        <v>1</v>
      </c>
      <c r="E67" s="94">
        <v>8</v>
      </c>
      <c r="F67" s="95">
        <v>8</v>
      </c>
      <c r="G67" s="95">
        <v>2</v>
      </c>
      <c r="H67" s="95">
        <v>6</v>
      </c>
      <c r="I67" s="95">
        <v>12</v>
      </c>
      <c r="J67" s="95">
        <v>3</v>
      </c>
      <c r="K67" s="95">
        <v>4</v>
      </c>
      <c r="L67" s="95">
        <v>5</v>
      </c>
      <c r="M67" s="94">
        <v>12</v>
      </c>
      <c r="N67" s="94">
        <v>23</v>
      </c>
      <c r="O67" s="95">
        <v>9</v>
      </c>
      <c r="P67" s="95">
        <v>14</v>
      </c>
      <c r="Q67" s="95">
        <v>8</v>
      </c>
      <c r="R67" s="95">
        <v>6</v>
      </c>
      <c r="S67" s="95"/>
      <c r="T67" s="95">
        <v>10</v>
      </c>
      <c r="U67" s="95">
        <v>11</v>
      </c>
      <c r="V67" s="95">
        <v>11</v>
      </c>
      <c r="W67" s="94"/>
    </row>
    <row r="68" spans="1:23" x14ac:dyDescent="0.25">
      <c r="A68" s="93" t="s">
        <v>347</v>
      </c>
      <c r="B68" s="93" t="s">
        <v>348</v>
      </c>
      <c r="C68" s="94">
        <v>12</v>
      </c>
      <c r="D68" s="94">
        <v>4</v>
      </c>
      <c r="E68" s="94">
        <v>2</v>
      </c>
      <c r="F68" s="95">
        <v>4</v>
      </c>
      <c r="G68" s="95">
        <v>5</v>
      </c>
      <c r="H68" s="95">
        <v>5</v>
      </c>
      <c r="I68" s="95">
        <v>10</v>
      </c>
      <c r="J68" s="95">
        <v>3</v>
      </c>
      <c r="K68" s="95"/>
      <c r="L68" s="95">
        <v>1</v>
      </c>
      <c r="M68" s="94">
        <v>14</v>
      </c>
      <c r="N68" s="94"/>
      <c r="O68" s="95">
        <v>10</v>
      </c>
      <c r="P68" s="95">
        <v>12</v>
      </c>
      <c r="Q68" s="95">
        <v>9</v>
      </c>
      <c r="R68" s="95">
        <v>10</v>
      </c>
      <c r="S68" s="95">
        <v>16</v>
      </c>
      <c r="T68" s="95">
        <v>0</v>
      </c>
      <c r="U68" s="95">
        <v>12</v>
      </c>
      <c r="V68" s="95">
        <v>5</v>
      </c>
      <c r="W68" s="94"/>
    </row>
    <row r="69" spans="1:23" x14ac:dyDescent="0.25">
      <c r="A69" s="93" t="s">
        <v>293</v>
      </c>
      <c r="B69" s="93" t="s">
        <v>139</v>
      </c>
      <c r="C69" s="94">
        <v>12</v>
      </c>
      <c r="D69" s="94">
        <v>2</v>
      </c>
      <c r="E69" s="94">
        <v>6</v>
      </c>
      <c r="F69" s="95">
        <v>4</v>
      </c>
      <c r="G69" s="95">
        <v>2</v>
      </c>
      <c r="H69" s="95">
        <v>5</v>
      </c>
      <c r="I69" s="95">
        <v>10</v>
      </c>
      <c r="J69" s="95">
        <v>4</v>
      </c>
      <c r="K69" s="95">
        <v>5</v>
      </c>
      <c r="L69" s="95">
        <v>3</v>
      </c>
      <c r="M69" s="94">
        <v>16</v>
      </c>
      <c r="N69" s="94"/>
      <c r="O69" s="95">
        <v>9</v>
      </c>
      <c r="P69" s="95">
        <v>14</v>
      </c>
      <c r="Q69" s="95"/>
      <c r="R69" s="95">
        <v>12</v>
      </c>
      <c r="S69" s="95">
        <v>16</v>
      </c>
      <c r="T69" s="95">
        <v>14</v>
      </c>
      <c r="U69" s="95">
        <v>10</v>
      </c>
      <c r="V69" s="95">
        <v>11</v>
      </c>
      <c r="W69" s="94"/>
    </row>
  </sheetData>
  <mergeCells count="1">
    <mergeCell ref="B1:W1"/>
  </mergeCells>
  <conditionalFormatting sqref="C4:C69">
    <cfRule type="cellIs" dxfId="97" priority="6" operator="lessThan">
      <formula>20</formula>
    </cfRule>
  </conditionalFormatting>
  <conditionalFormatting sqref="D4:D69 F4:L69">
    <cfRule type="cellIs" dxfId="96" priority="5" operator="lessThan">
      <formula>5</formula>
    </cfRule>
  </conditionalFormatting>
  <conditionalFormatting sqref="E4:E69 O4:V69">
    <cfRule type="cellIs" dxfId="95" priority="4" operator="lessThan">
      <formula>10</formula>
    </cfRule>
  </conditionalFormatting>
  <conditionalFormatting sqref="M4:M69">
    <cfRule type="cellIs" dxfId="94" priority="3" operator="lessThan">
      <formula>15</formula>
    </cfRule>
  </conditionalFormatting>
  <conditionalFormatting sqref="N4:N69">
    <cfRule type="cellIs" dxfId="93" priority="2" operator="lessThan">
      <formula>35</formula>
    </cfRule>
  </conditionalFormatting>
  <conditionalFormatting sqref="W4:W69">
    <cfRule type="cellIs" dxfId="92" priority="1" operator="lessThan">
      <formula>50</formula>
    </cfRule>
  </conditionalFormatting>
  <pageMargins left="0.17" right="0.12" top="0.74803149606299213" bottom="0.74803149606299213" header="0.31496062992125984" footer="0.31496062992125984"/>
  <pageSetup paperSize="9" fitToWidth="2" fitToHeight="2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69A2-1E3F-40FF-A701-A287592F3A30}">
  <sheetPr codeName="Feuil15">
    <tabColor rgb="FF7030A0"/>
    <pageSetUpPr fitToPage="1"/>
  </sheetPr>
  <dimension ref="A1:AG76"/>
  <sheetViews>
    <sheetView showZeros="0" topLeftCell="A3" zoomScaleNormal="100" workbookViewId="0">
      <selection activeCell="A15" sqref="A15:XFD15"/>
    </sheetView>
  </sheetViews>
  <sheetFormatPr baseColWidth="10" defaultColWidth="11.42578125" defaultRowHeight="15.75" x14ac:dyDescent="0.25"/>
  <cols>
    <col min="1" max="1" width="21.28515625" style="1" customWidth="1"/>
    <col min="2" max="2" width="20.5703125" style="1" customWidth="1"/>
    <col min="3" max="22" width="4.5703125" style="1" customWidth="1"/>
    <col min="23" max="23" width="7.42578125" style="1" customWidth="1"/>
    <col min="24" max="25" width="5.85546875" style="1" customWidth="1"/>
    <col min="26" max="27" width="5.28515625" style="1" customWidth="1"/>
    <col min="28" max="28" width="5.5703125" style="1" customWidth="1"/>
    <col min="29" max="29" width="6" style="1" customWidth="1"/>
    <col min="30" max="32" width="5.85546875" style="1" customWidth="1"/>
    <col min="33" max="33" width="6.28515625" style="1" customWidth="1"/>
    <col min="34" max="16384" width="11.42578125" style="1"/>
  </cols>
  <sheetData>
    <row r="1" spans="1:33" ht="46.5" customHeight="1" x14ac:dyDescent="0.5">
      <c r="A1" s="11"/>
      <c r="B1" s="203" t="s">
        <v>96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4.5" customHeight="1" x14ac:dyDescent="0.35">
      <c r="A2" s="11"/>
      <c r="B2" s="11"/>
      <c r="C2" s="6" t="s">
        <v>18</v>
      </c>
      <c r="D2" s="6" t="s">
        <v>19</v>
      </c>
      <c r="E2" s="6" t="s">
        <v>20</v>
      </c>
      <c r="F2" s="6" t="s">
        <v>44</v>
      </c>
      <c r="G2" s="6" t="s">
        <v>23</v>
      </c>
      <c r="H2" s="6" t="s">
        <v>45</v>
      </c>
      <c r="I2" s="6" t="s">
        <v>25</v>
      </c>
      <c r="J2" s="6" t="s">
        <v>27</v>
      </c>
      <c r="K2" s="6" t="s">
        <v>28</v>
      </c>
      <c r="L2" s="7" t="s">
        <v>46</v>
      </c>
      <c r="M2" s="7" t="s">
        <v>31</v>
      </c>
      <c r="N2" s="7" t="s">
        <v>13</v>
      </c>
      <c r="O2" s="7" t="s">
        <v>47</v>
      </c>
      <c r="P2" s="7" t="s">
        <v>48</v>
      </c>
      <c r="Q2" s="7" t="s">
        <v>49</v>
      </c>
      <c r="R2" s="7" t="s">
        <v>32</v>
      </c>
      <c r="S2" s="7" t="s">
        <v>33</v>
      </c>
      <c r="T2" s="7" t="s">
        <v>35</v>
      </c>
      <c r="U2" s="7" t="s">
        <v>36</v>
      </c>
      <c r="V2" s="7" t="s">
        <v>38</v>
      </c>
      <c r="W2" s="5" t="s">
        <v>8</v>
      </c>
      <c r="X2" s="3"/>
      <c r="Y2" s="9"/>
      <c r="Z2" s="3"/>
      <c r="AA2" s="3"/>
      <c r="AB2" s="3"/>
      <c r="AC2" s="3"/>
      <c r="AD2" s="3"/>
      <c r="AE2" s="3"/>
      <c r="AF2" s="3"/>
      <c r="AG2" s="3"/>
    </row>
    <row r="3" spans="1:33" s="3" customFormat="1" ht="20.25" customHeight="1" thickBot="1" x14ac:dyDescent="0.35">
      <c r="A3" s="10" t="s">
        <v>7</v>
      </c>
      <c r="B3" s="8" t="s">
        <v>6</v>
      </c>
      <c r="C3" s="53" t="s">
        <v>58</v>
      </c>
      <c r="D3" s="53" t="s">
        <v>59</v>
      </c>
      <c r="E3" s="53" t="s">
        <v>60</v>
      </c>
      <c r="F3" s="53" t="s">
        <v>61</v>
      </c>
      <c r="G3" s="53" t="s">
        <v>62</v>
      </c>
      <c r="H3" s="53" t="s">
        <v>63</v>
      </c>
      <c r="I3" s="53" t="s">
        <v>64</v>
      </c>
      <c r="J3" s="53" t="s">
        <v>65</v>
      </c>
      <c r="K3" s="53" t="s">
        <v>66</v>
      </c>
      <c r="L3" s="53" t="s">
        <v>67</v>
      </c>
      <c r="M3" s="53" t="s">
        <v>68</v>
      </c>
      <c r="N3" s="53" t="s">
        <v>69</v>
      </c>
      <c r="O3" s="53" t="s">
        <v>77</v>
      </c>
      <c r="P3" s="53" t="s">
        <v>79</v>
      </c>
      <c r="Q3" s="53" t="s">
        <v>80</v>
      </c>
      <c r="R3" s="53" t="s">
        <v>81</v>
      </c>
      <c r="S3" s="53" t="s">
        <v>70</v>
      </c>
      <c r="T3" s="53" t="s">
        <v>82</v>
      </c>
      <c r="U3" s="53" t="s">
        <v>83</v>
      </c>
      <c r="V3" s="53" t="s">
        <v>84</v>
      </c>
      <c r="W3" s="53" t="s">
        <v>78</v>
      </c>
    </row>
    <row r="4" spans="1:33" s="3" customFormat="1" ht="20.25" customHeight="1" thickBot="1" x14ac:dyDescent="0.3">
      <c r="A4" s="2" t="s">
        <v>248</v>
      </c>
      <c r="B4" s="2" t="s">
        <v>249</v>
      </c>
      <c r="C4" s="53">
        <v>14</v>
      </c>
      <c r="D4" s="54">
        <v>3</v>
      </c>
      <c r="E4" s="54">
        <v>13</v>
      </c>
      <c r="F4" s="84">
        <v>5</v>
      </c>
      <c r="G4" s="84">
        <v>5</v>
      </c>
      <c r="H4" s="84">
        <v>5</v>
      </c>
      <c r="I4" s="84">
        <v>10</v>
      </c>
      <c r="J4" s="84">
        <v>5</v>
      </c>
      <c r="K4" s="84">
        <v>6</v>
      </c>
      <c r="L4" s="84">
        <v>5</v>
      </c>
      <c r="M4" s="54">
        <v>23</v>
      </c>
      <c r="N4" s="54">
        <v>27</v>
      </c>
      <c r="O4" s="84">
        <v>8</v>
      </c>
      <c r="P4" s="84">
        <v>10</v>
      </c>
      <c r="Q4" s="84">
        <v>10</v>
      </c>
      <c r="R4" s="84">
        <v>6</v>
      </c>
      <c r="S4" s="84">
        <v>14</v>
      </c>
      <c r="T4" s="84">
        <v>14</v>
      </c>
      <c r="U4" s="84">
        <v>9</v>
      </c>
      <c r="V4" s="84">
        <v>11</v>
      </c>
      <c r="W4" s="54"/>
    </row>
    <row r="5" spans="1:33" s="3" customFormat="1" ht="20.25" customHeight="1" thickBot="1" x14ac:dyDescent="0.3">
      <c r="A5" s="2" t="s">
        <v>234</v>
      </c>
      <c r="B5" s="2" t="s">
        <v>127</v>
      </c>
      <c r="C5" s="11">
        <v>15</v>
      </c>
      <c r="D5" s="11">
        <v>1</v>
      </c>
      <c r="E5" s="11">
        <v>3</v>
      </c>
      <c r="F5" s="84">
        <v>2</v>
      </c>
      <c r="G5" s="84">
        <v>3</v>
      </c>
      <c r="H5" s="84">
        <v>3</v>
      </c>
      <c r="I5" s="84">
        <v>8</v>
      </c>
      <c r="J5" s="84">
        <v>3</v>
      </c>
      <c r="K5" s="84">
        <v>4</v>
      </c>
      <c r="L5" s="84">
        <v>3</v>
      </c>
      <c r="M5" s="3">
        <v>14</v>
      </c>
      <c r="O5" s="84">
        <v>7</v>
      </c>
      <c r="P5" s="84">
        <v>8</v>
      </c>
      <c r="Q5" s="84">
        <v>9</v>
      </c>
      <c r="R5" s="84">
        <v>6</v>
      </c>
      <c r="S5" s="84">
        <v>11</v>
      </c>
      <c r="T5" s="84">
        <v>13</v>
      </c>
      <c r="U5" s="84">
        <v>10</v>
      </c>
      <c r="V5" s="84">
        <v>1</v>
      </c>
    </row>
    <row r="6" spans="1:33" s="3" customFormat="1" ht="20.25" customHeight="1" thickBot="1" x14ac:dyDescent="0.3">
      <c r="A6" s="2" t="s">
        <v>277</v>
      </c>
      <c r="B6" s="2" t="s">
        <v>278</v>
      </c>
      <c r="C6" s="1">
        <v>18</v>
      </c>
      <c r="D6" s="1">
        <v>2</v>
      </c>
      <c r="E6" s="1">
        <v>2</v>
      </c>
      <c r="F6" s="84">
        <v>4</v>
      </c>
      <c r="G6" s="84">
        <v>4</v>
      </c>
      <c r="H6" s="84">
        <v>4</v>
      </c>
      <c r="I6" s="84">
        <v>10</v>
      </c>
      <c r="J6" s="84">
        <v>5</v>
      </c>
      <c r="K6" s="84">
        <v>4</v>
      </c>
      <c r="L6" s="84">
        <v>2</v>
      </c>
      <c r="M6" s="1">
        <v>27</v>
      </c>
      <c r="N6" s="1">
        <v>29</v>
      </c>
      <c r="O6" s="84">
        <v>7</v>
      </c>
      <c r="P6" s="84">
        <v>12</v>
      </c>
      <c r="Q6" s="84">
        <v>10</v>
      </c>
      <c r="R6" s="84">
        <v>6</v>
      </c>
      <c r="S6" s="84">
        <v>17</v>
      </c>
      <c r="T6" s="84">
        <v>13</v>
      </c>
      <c r="U6" s="84">
        <v>11</v>
      </c>
      <c r="V6" s="84">
        <v>10</v>
      </c>
    </row>
    <row r="7" spans="1:33" s="3" customFormat="1" ht="20.25" customHeight="1" thickBot="1" x14ac:dyDescent="0.3">
      <c r="A7" s="2" t="s">
        <v>329</v>
      </c>
      <c r="B7" s="2" t="s">
        <v>330</v>
      </c>
      <c r="C7" s="1">
        <v>22</v>
      </c>
      <c r="D7" s="1">
        <v>2</v>
      </c>
      <c r="E7" s="1">
        <v>6</v>
      </c>
      <c r="F7" s="84">
        <v>4</v>
      </c>
      <c r="G7" s="84">
        <v>8</v>
      </c>
      <c r="H7" s="84">
        <v>8</v>
      </c>
      <c r="I7" s="84">
        <v>14</v>
      </c>
      <c r="J7" s="84">
        <v>5</v>
      </c>
      <c r="K7" s="84">
        <v>5</v>
      </c>
      <c r="L7" s="84">
        <v>5</v>
      </c>
      <c r="M7" s="1">
        <v>26</v>
      </c>
      <c r="N7" s="1">
        <v>33</v>
      </c>
      <c r="O7" s="84">
        <v>19</v>
      </c>
      <c r="P7" s="84">
        <v>10</v>
      </c>
      <c r="Q7" s="84">
        <v>11</v>
      </c>
      <c r="R7" s="84">
        <v>14</v>
      </c>
      <c r="S7" s="84">
        <v>16</v>
      </c>
      <c r="T7" s="3">
        <v>15</v>
      </c>
      <c r="U7" s="84">
        <v>15</v>
      </c>
      <c r="V7" s="84">
        <v>16</v>
      </c>
    </row>
    <row r="8" spans="1:33" s="3" customFormat="1" ht="20.25" customHeight="1" thickBot="1" x14ac:dyDescent="0.3">
      <c r="A8" s="2" t="s">
        <v>339</v>
      </c>
      <c r="B8" s="2" t="s">
        <v>340</v>
      </c>
      <c r="C8" s="1"/>
      <c r="D8" s="1"/>
      <c r="E8" s="1"/>
      <c r="F8" s="84"/>
      <c r="G8" s="84"/>
      <c r="H8" s="84"/>
      <c r="I8" s="84"/>
      <c r="J8" s="84"/>
      <c r="K8" s="84"/>
      <c r="L8" s="84"/>
      <c r="M8" s="1"/>
      <c r="N8" s="1"/>
      <c r="O8" s="84"/>
      <c r="P8" s="84"/>
      <c r="Q8" s="84"/>
      <c r="R8" s="84"/>
      <c r="S8" s="84"/>
      <c r="T8" s="84">
        <v>12</v>
      </c>
      <c r="U8" s="84"/>
      <c r="V8" s="84"/>
      <c r="W8" s="1"/>
    </row>
    <row r="9" spans="1:33" s="3" customFormat="1" ht="20.25" customHeight="1" thickBot="1" x14ac:dyDescent="0.3">
      <c r="A9" s="2" t="s">
        <v>327</v>
      </c>
      <c r="B9" s="2" t="s">
        <v>328</v>
      </c>
      <c r="C9" s="1">
        <v>28</v>
      </c>
      <c r="D9" s="1">
        <v>6</v>
      </c>
      <c r="E9" s="1">
        <v>14</v>
      </c>
      <c r="F9" s="84">
        <v>3</v>
      </c>
      <c r="G9" s="84">
        <v>7</v>
      </c>
      <c r="H9" s="84">
        <v>7</v>
      </c>
      <c r="I9" s="84">
        <v>14</v>
      </c>
      <c r="J9" s="84">
        <v>5</v>
      </c>
      <c r="K9" s="84">
        <v>6</v>
      </c>
      <c r="L9" s="84">
        <v>7</v>
      </c>
      <c r="M9" s="1">
        <v>23</v>
      </c>
      <c r="N9" s="1">
        <v>37</v>
      </c>
      <c r="O9" s="84">
        <v>15</v>
      </c>
      <c r="P9" s="84">
        <v>12</v>
      </c>
      <c r="Q9" s="84">
        <v>11</v>
      </c>
      <c r="R9" s="84">
        <v>18</v>
      </c>
      <c r="S9" s="84">
        <v>16</v>
      </c>
      <c r="T9" s="84">
        <v>12</v>
      </c>
      <c r="U9" s="84">
        <v>10</v>
      </c>
      <c r="V9" s="84">
        <v>15</v>
      </c>
      <c r="W9" s="1"/>
    </row>
    <row r="10" spans="1:33" s="3" customFormat="1" ht="20.25" customHeight="1" thickBot="1" x14ac:dyDescent="0.3">
      <c r="A10" s="2" t="s">
        <v>279</v>
      </c>
      <c r="B10" s="2" t="s">
        <v>280</v>
      </c>
      <c r="C10" s="1">
        <v>15</v>
      </c>
      <c r="D10" s="1">
        <v>3</v>
      </c>
      <c r="E10" s="1">
        <v>2</v>
      </c>
      <c r="F10" s="84">
        <v>4</v>
      </c>
      <c r="G10" s="84">
        <v>3</v>
      </c>
      <c r="H10" s="84">
        <v>4</v>
      </c>
      <c r="I10" s="84">
        <v>6</v>
      </c>
      <c r="J10" s="84">
        <v>4</v>
      </c>
      <c r="K10" s="84">
        <v>4</v>
      </c>
      <c r="L10" s="84">
        <v>5</v>
      </c>
      <c r="M10" s="1">
        <v>30</v>
      </c>
      <c r="N10" s="1">
        <v>23</v>
      </c>
      <c r="O10" s="84">
        <v>8</v>
      </c>
      <c r="P10" s="84">
        <v>10</v>
      </c>
      <c r="Q10" s="84">
        <v>10</v>
      </c>
      <c r="R10" s="84">
        <v>12</v>
      </c>
      <c r="S10" s="84">
        <v>17</v>
      </c>
      <c r="T10" s="84">
        <v>12</v>
      </c>
      <c r="U10" s="84">
        <v>12</v>
      </c>
      <c r="V10" s="84">
        <v>7</v>
      </c>
      <c r="W10" s="1"/>
    </row>
    <row r="11" spans="1:33" s="3" customFormat="1" ht="19.5" customHeight="1" thickBot="1" x14ac:dyDescent="0.3">
      <c r="A11" s="2" t="s">
        <v>298</v>
      </c>
      <c r="B11" s="2" t="s">
        <v>299</v>
      </c>
      <c r="C11" s="1">
        <v>12</v>
      </c>
      <c r="D11" s="1">
        <v>3</v>
      </c>
      <c r="E11" s="1">
        <v>2</v>
      </c>
      <c r="F11" s="84">
        <v>2</v>
      </c>
      <c r="G11" s="84">
        <v>6</v>
      </c>
      <c r="H11" s="84">
        <v>6</v>
      </c>
      <c r="I11" s="84">
        <v>10</v>
      </c>
      <c r="J11" s="84">
        <v>6</v>
      </c>
      <c r="K11" s="84">
        <v>3</v>
      </c>
      <c r="L11" s="84">
        <v>2</v>
      </c>
      <c r="M11" s="1">
        <v>27</v>
      </c>
      <c r="N11" s="1">
        <v>32</v>
      </c>
      <c r="O11" s="84">
        <v>13</v>
      </c>
      <c r="P11" s="84">
        <v>12</v>
      </c>
      <c r="Q11" s="84">
        <v>10</v>
      </c>
      <c r="R11" s="84">
        <v>18</v>
      </c>
      <c r="S11" s="84">
        <v>15</v>
      </c>
      <c r="T11" s="84">
        <v>13</v>
      </c>
      <c r="U11" s="84">
        <v>6</v>
      </c>
      <c r="V11" s="84">
        <v>14</v>
      </c>
      <c r="W11" s="1"/>
    </row>
    <row r="12" spans="1:33" s="3" customFormat="1" ht="16.5" thickBot="1" x14ac:dyDescent="0.3">
      <c r="A12" s="2" t="s">
        <v>296</v>
      </c>
      <c r="B12" s="2" t="s">
        <v>51</v>
      </c>
      <c r="C12" s="1">
        <v>25</v>
      </c>
      <c r="D12" s="1">
        <v>4</v>
      </c>
      <c r="E12" s="1">
        <v>8</v>
      </c>
      <c r="F12" s="84">
        <v>5</v>
      </c>
      <c r="G12" s="84">
        <v>7</v>
      </c>
      <c r="H12" s="84">
        <v>8</v>
      </c>
      <c r="I12" s="84">
        <v>16</v>
      </c>
      <c r="J12" s="84">
        <v>5</v>
      </c>
      <c r="K12" s="84">
        <v>5</v>
      </c>
      <c r="L12" s="84">
        <v>6</v>
      </c>
      <c r="M12" s="1">
        <v>26</v>
      </c>
      <c r="N12" s="1">
        <v>35</v>
      </c>
      <c r="O12" s="84">
        <v>17</v>
      </c>
      <c r="P12" s="84">
        <v>12</v>
      </c>
      <c r="Q12" s="84">
        <v>15</v>
      </c>
      <c r="R12" s="84">
        <v>6</v>
      </c>
      <c r="S12" s="84">
        <v>14</v>
      </c>
      <c r="T12" s="84">
        <v>12</v>
      </c>
      <c r="U12" s="84">
        <v>11</v>
      </c>
      <c r="V12" s="84">
        <v>10</v>
      </c>
      <c r="W12" s="1"/>
    </row>
    <row r="13" spans="1:33" s="3" customFormat="1" ht="16.5" thickBot="1" x14ac:dyDescent="0.3">
      <c r="A13" s="2" t="s">
        <v>323</v>
      </c>
      <c r="B13" s="2" t="s">
        <v>324</v>
      </c>
      <c r="C13" s="1">
        <v>24</v>
      </c>
      <c r="D13" s="1">
        <v>6</v>
      </c>
      <c r="E13" s="1">
        <v>6</v>
      </c>
      <c r="F13" s="84">
        <v>7</v>
      </c>
      <c r="G13" s="84">
        <v>5</v>
      </c>
      <c r="H13" s="84">
        <v>5</v>
      </c>
      <c r="I13" s="84">
        <v>10</v>
      </c>
      <c r="J13" s="84">
        <v>6</v>
      </c>
      <c r="K13" s="84">
        <v>8</v>
      </c>
      <c r="L13" s="84">
        <v>6</v>
      </c>
      <c r="M13" s="1">
        <v>27</v>
      </c>
      <c r="N13" s="1">
        <v>34</v>
      </c>
      <c r="O13" s="84">
        <v>7</v>
      </c>
      <c r="P13" s="84">
        <v>12</v>
      </c>
      <c r="Q13" s="84">
        <v>11</v>
      </c>
      <c r="R13" s="84">
        <v>14</v>
      </c>
      <c r="S13" s="84">
        <v>14</v>
      </c>
      <c r="T13" s="84">
        <v>13</v>
      </c>
      <c r="U13" s="84">
        <v>14</v>
      </c>
      <c r="V13" s="84">
        <v>15</v>
      </c>
      <c r="W13" s="1"/>
    </row>
    <row r="14" spans="1:33" s="3" customFormat="1" ht="16.5" thickBot="1" x14ac:dyDescent="0.3">
      <c r="A14" s="2" t="s">
        <v>275</v>
      </c>
      <c r="B14" s="2" t="s">
        <v>276</v>
      </c>
      <c r="C14" s="1">
        <v>15</v>
      </c>
      <c r="D14" s="1">
        <v>3</v>
      </c>
      <c r="E14" s="1">
        <v>5</v>
      </c>
      <c r="F14" s="84">
        <v>9</v>
      </c>
      <c r="G14" s="84">
        <v>7</v>
      </c>
      <c r="H14" s="84">
        <v>5</v>
      </c>
      <c r="I14" s="84">
        <v>10</v>
      </c>
      <c r="J14" s="84">
        <v>6</v>
      </c>
      <c r="K14" s="84">
        <v>6</v>
      </c>
      <c r="L14" s="84">
        <v>6</v>
      </c>
      <c r="M14" s="1">
        <v>22</v>
      </c>
      <c r="N14" s="1">
        <v>33</v>
      </c>
      <c r="O14" s="84">
        <v>14</v>
      </c>
      <c r="P14" s="84">
        <v>14</v>
      </c>
      <c r="Q14" s="84">
        <v>10</v>
      </c>
      <c r="R14" s="84">
        <v>16</v>
      </c>
      <c r="S14" s="84">
        <v>14</v>
      </c>
      <c r="T14" s="84">
        <v>14</v>
      </c>
      <c r="U14" s="84">
        <v>15</v>
      </c>
      <c r="V14" s="84">
        <v>10</v>
      </c>
      <c r="W14" s="1"/>
    </row>
    <row r="15" spans="1:33" s="3" customFormat="1" ht="16.5" thickBot="1" x14ac:dyDescent="0.3">
      <c r="A15" s="2" t="s">
        <v>315</v>
      </c>
      <c r="B15" s="2" t="s">
        <v>316</v>
      </c>
      <c r="C15" s="1">
        <v>25</v>
      </c>
      <c r="D15" s="1">
        <v>6</v>
      </c>
      <c r="E15" s="1">
        <v>10</v>
      </c>
      <c r="F15" s="84">
        <v>7</v>
      </c>
      <c r="G15" s="84">
        <v>3</v>
      </c>
      <c r="H15" s="84">
        <v>3</v>
      </c>
      <c r="I15" s="84">
        <v>8</v>
      </c>
      <c r="J15" s="84">
        <v>4</v>
      </c>
      <c r="K15" s="84">
        <v>4</v>
      </c>
      <c r="L15" s="84">
        <v>5</v>
      </c>
      <c r="M15" s="1">
        <v>26</v>
      </c>
      <c r="N15" s="1">
        <v>29</v>
      </c>
      <c r="O15" s="84">
        <v>12</v>
      </c>
      <c r="P15" s="84">
        <v>12</v>
      </c>
      <c r="Q15" s="84">
        <v>11</v>
      </c>
      <c r="R15" s="84">
        <v>14</v>
      </c>
      <c r="S15" s="84">
        <v>18</v>
      </c>
      <c r="T15" s="84">
        <v>13</v>
      </c>
      <c r="U15" s="84">
        <v>13</v>
      </c>
      <c r="V15" s="84">
        <v>10</v>
      </c>
      <c r="W15" s="1"/>
    </row>
    <row r="16" spans="1:33" s="3" customFormat="1" ht="16.5" thickBot="1" x14ac:dyDescent="0.3">
      <c r="A16" s="2" t="s">
        <v>319</v>
      </c>
      <c r="B16" s="2" t="s">
        <v>320</v>
      </c>
      <c r="C16" s="1">
        <v>17</v>
      </c>
      <c r="D16" s="1">
        <v>6</v>
      </c>
      <c r="E16" s="1">
        <v>8</v>
      </c>
      <c r="F16" s="84">
        <v>5</v>
      </c>
      <c r="G16" s="84">
        <v>5</v>
      </c>
      <c r="H16" s="84">
        <v>5</v>
      </c>
      <c r="I16" s="84">
        <v>10</v>
      </c>
      <c r="J16" s="84">
        <v>4</v>
      </c>
      <c r="K16" s="84">
        <v>5</v>
      </c>
      <c r="L16" s="84">
        <v>3</v>
      </c>
      <c r="M16" s="1">
        <v>25</v>
      </c>
      <c r="N16" s="1">
        <v>29</v>
      </c>
      <c r="O16" s="84">
        <v>12</v>
      </c>
      <c r="P16" s="84">
        <v>10</v>
      </c>
      <c r="Q16" s="84">
        <v>9</v>
      </c>
      <c r="R16" s="84">
        <v>20</v>
      </c>
      <c r="S16" s="84">
        <v>15</v>
      </c>
      <c r="T16" s="84">
        <v>13</v>
      </c>
      <c r="U16" s="84">
        <v>13</v>
      </c>
      <c r="V16" s="84">
        <v>13</v>
      </c>
      <c r="W16" s="1"/>
    </row>
    <row r="17" spans="1:33" s="3" customFormat="1" ht="16.5" thickBot="1" x14ac:dyDescent="0.3">
      <c r="A17" s="2" t="s">
        <v>341</v>
      </c>
      <c r="B17" s="2" t="s">
        <v>342</v>
      </c>
      <c r="C17" s="1"/>
      <c r="D17" s="1"/>
      <c r="E17" s="1"/>
      <c r="F17" s="84"/>
      <c r="G17" s="84"/>
      <c r="H17" s="84"/>
      <c r="I17" s="84"/>
      <c r="J17" s="84"/>
      <c r="K17" s="84"/>
      <c r="L17" s="84"/>
      <c r="M17" s="1"/>
      <c r="N17" s="1"/>
      <c r="O17" s="84"/>
      <c r="P17" s="84"/>
      <c r="Q17" s="84"/>
      <c r="R17" s="84">
        <v>6</v>
      </c>
      <c r="S17" s="84"/>
      <c r="T17" s="84"/>
      <c r="U17" s="84"/>
      <c r="V17" s="84"/>
      <c r="W17" s="1"/>
    </row>
    <row r="18" spans="1:33" s="3" customFormat="1" ht="16.5" thickBot="1" x14ac:dyDescent="0.3">
      <c r="A18" s="2" t="s">
        <v>289</v>
      </c>
      <c r="B18" s="2" t="s">
        <v>290</v>
      </c>
      <c r="C18" s="1">
        <v>25</v>
      </c>
      <c r="D18" s="1">
        <v>4</v>
      </c>
      <c r="E18" s="1">
        <v>6</v>
      </c>
      <c r="F18" s="84">
        <v>2</v>
      </c>
      <c r="G18" s="84">
        <v>5</v>
      </c>
      <c r="H18" s="84">
        <v>5</v>
      </c>
      <c r="I18" s="84">
        <v>12</v>
      </c>
      <c r="J18" s="84">
        <v>5</v>
      </c>
      <c r="K18" s="84">
        <v>5</v>
      </c>
      <c r="L18" s="84">
        <v>5</v>
      </c>
      <c r="M18" s="1">
        <v>17</v>
      </c>
      <c r="N18" s="1">
        <v>30</v>
      </c>
      <c r="O18" s="84">
        <v>12</v>
      </c>
      <c r="P18" s="84">
        <v>14</v>
      </c>
      <c r="Q18" s="84">
        <v>10</v>
      </c>
      <c r="R18" s="84">
        <v>14</v>
      </c>
      <c r="S18" s="84">
        <v>16</v>
      </c>
      <c r="T18" s="84">
        <v>14</v>
      </c>
      <c r="U18" s="84">
        <v>11</v>
      </c>
      <c r="V18" s="84">
        <v>14</v>
      </c>
      <c r="W18" s="1"/>
    </row>
    <row r="19" spans="1:33" s="3" customFormat="1" ht="16.5" thickBot="1" x14ac:dyDescent="0.3">
      <c r="A19" s="2" t="s">
        <v>325</v>
      </c>
      <c r="B19" s="2" t="s">
        <v>326</v>
      </c>
      <c r="C19" s="1">
        <v>21</v>
      </c>
      <c r="D19" s="1">
        <v>5</v>
      </c>
      <c r="E19" s="1">
        <v>12</v>
      </c>
      <c r="F19" s="84">
        <v>6</v>
      </c>
      <c r="G19" s="84">
        <v>5</v>
      </c>
      <c r="H19" s="84">
        <v>5</v>
      </c>
      <c r="I19" s="84">
        <v>10</v>
      </c>
      <c r="J19" s="84">
        <v>3</v>
      </c>
      <c r="K19" s="84">
        <v>6</v>
      </c>
      <c r="L19" s="84">
        <v>5</v>
      </c>
      <c r="M19" s="1">
        <v>20</v>
      </c>
      <c r="N19" s="1">
        <v>31</v>
      </c>
      <c r="O19" s="84">
        <v>13</v>
      </c>
      <c r="P19" s="84">
        <v>10</v>
      </c>
      <c r="Q19" s="84">
        <v>11</v>
      </c>
      <c r="R19" s="84">
        <v>14</v>
      </c>
      <c r="S19" s="84">
        <v>16</v>
      </c>
      <c r="T19" s="84">
        <v>13</v>
      </c>
      <c r="U19" s="84">
        <v>9</v>
      </c>
      <c r="V19" s="84">
        <v>14</v>
      </c>
      <c r="W19" s="1"/>
    </row>
    <row r="20" spans="1:33" s="3" customFormat="1" ht="16.5" thickBot="1" x14ac:dyDescent="0.3">
      <c r="A20" s="2" t="s">
        <v>308</v>
      </c>
      <c r="B20" s="2" t="s">
        <v>309</v>
      </c>
      <c r="C20" s="1">
        <v>20</v>
      </c>
      <c r="D20" s="1">
        <v>6</v>
      </c>
      <c r="E20" s="1">
        <v>10</v>
      </c>
      <c r="F20" s="84">
        <v>4</v>
      </c>
      <c r="G20" s="84">
        <v>3</v>
      </c>
      <c r="H20" s="84">
        <v>3</v>
      </c>
      <c r="I20" s="84">
        <v>6</v>
      </c>
      <c r="J20" s="84">
        <v>5</v>
      </c>
      <c r="K20" s="84">
        <v>4</v>
      </c>
      <c r="L20" s="84">
        <v>5</v>
      </c>
      <c r="M20" s="1">
        <v>27</v>
      </c>
      <c r="N20" s="1">
        <v>28</v>
      </c>
      <c r="O20" s="84">
        <v>11</v>
      </c>
      <c r="P20" s="84">
        <v>14</v>
      </c>
      <c r="Q20" s="84">
        <v>13</v>
      </c>
      <c r="R20" s="84">
        <v>18</v>
      </c>
      <c r="S20" s="84">
        <v>16</v>
      </c>
      <c r="T20" s="84">
        <v>14</v>
      </c>
      <c r="U20" s="84">
        <v>14</v>
      </c>
      <c r="V20" s="84">
        <v>5</v>
      </c>
      <c r="W20" s="1"/>
    </row>
    <row r="21" spans="1:33" s="3" customFormat="1" ht="16.5" thickBot="1" x14ac:dyDescent="0.3">
      <c r="A21" s="2" t="s">
        <v>273</v>
      </c>
      <c r="B21" s="2" t="s">
        <v>274</v>
      </c>
      <c r="C21" s="1">
        <v>13</v>
      </c>
      <c r="D21" s="1">
        <v>4</v>
      </c>
      <c r="E21" s="1">
        <v>5</v>
      </c>
      <c r="F21" s="84">
        <v>3</v>
      </c>
      <c r="G21" s="84">
        <v>6</v>
      </c>
      <c r="H21" s="84">
        <v>6</v>
      </c>
      <c r="I21" s="84">
        <v>12</v>
      </c>
      <c r="J21" s="84">
        <v>4</v>
      </c>
      <c r="K21" s="84">
        <v>4</v>
      </c>
      <c r="L21" s="84">
        <v>4</v>
      </c>
      <c r="M21" s="1">
        <v>27</v>
      </c>
      <c r="N21" s="1">
        <v>25</v>
      </c>
      <c r="O21" s="84">
        <v>7</v>
      </c>
      <c r="P21" s="84">
        <v>6</v>
      </c>
      <c r="Q21" s="84">
        <v>9</v>
      </c>
      <c r="R21" s="84">
        <v>14</v>
      </c>
      <c r="S21" s="84">
        <v>15</v>
      </c>
      <c r="T21" s="84">
        <v>13</v>
      </c>
      <c r="U21" s="84">
        <v>10</v>
      </c>
      <c r="V21" s="84">
        <v>15</v>
      </c>
      <c r="W21" s="1"/>
    </row>
    <row r="22" spans="1:33" s="3" customFormat="1" ht="16.5" thickBot="1" x14ac:dyDescent="0.3">
      <c r="A22" s="2" t="s">
        <v>138</v>
      </c>
      <c r="B22" s="2" t="s">
        <v>138</v>
      </c>
      <c r="C22" s="1">
        <v>14</v>
      </c>
      <c r="D22" s="1">
        <v>3</v>
      </c>
      <c r="E22" s="1">
        <v>7</v>
      </c>
      <c r="F22" s="84">
        <v>6</v>
      </c>
      <c r="G22" s="84">
        <v>7</v>
      </c>
      <c r="H22" s="84">
        <v>6</v>
      </c>
      <c r="I22" s="84">
        <v>12</v>
      </c>
      <c r="J22" s="84">
        <v>4</v>
      </c>
      <c r="K22" s="84">
        <v>3</v>
      </c>
      <c r="L22" s="84">
        <v>5</v>
      </c>
      <c r="M22" s="1">
        <v>27</v>
      </c>
      <c r="N22" s="1">
        <v>26</v>
      </c>
      <c r="O22" s="84">
        <v>8</v>
      </c>
      <c r="P22" s="84">
        <v>8</v>
      </c>
      <c r="Q22" s="84">
        <v>11</v>
      </c>
      <c r="R22" s="84">
        <v>10</v>
      </c>
      <c r="S22" s="84">
        <v>14</v>
      </c>
      <c r="T22" s="84">
        <v>14</v>
      </c>
      <c r="U22" s="84">
        <v>12</v>
      </c>
      <c r="V22" s="84">
        <v>15</v>
      </c>
      <c r="W22" s="1"/>
    </row>
    <row r="23" spans="1:33" s="3" customFormat="1" ht="16.5" thickBot="1" x14ac:dyDescent="0.3">
      <c r="A23" s="2" t="s">
        <v>291</v>
      </c>
      <c r="B23" s="2" t="s">
        <v>292</v>
      </c>
      <c r="C23" s="1">
        <v>23</v>
      </c>
      <c r="D23" s="1">
        <v>2</v>
      </c>
      <c r="E23" s="1">
        <v>20</v>
      </c>
      <c r="F23" s="84">
        <v>7</v>
      </c>
      <c r="G23" s="84">
        <v>6</v>
      </c>
      <c r="H23" s="84">
        <v>6</v>
      </c>
      <c r="I23" s="84">
        <v>16</v>
      </c>
      <c r="J23" s="84">
        <v>5</v>
      </c>
      <c r="K23" s="84">
        <v>4</v>
      </c>
      <c r="L23" s="84">
        <v>8</v>
      </c>
      <c r="M23" s="1">
        <v>26</v>
      </c>
      <c r="N23" s="1">
        <v>29</v>
      </c>
      <c r="O23" s="84">
        <v>17</v>
      </c>
      <c r="P23" s="84">
        <v>14</v>
      </c>
      <c r="Q23" s="84">
        <v>10</v>
      </c>
      <c r="R23" s="84">
        <v>10</v>
      </c>
      <c r="S23" s="84">
        <v>13</v>
      </c>
      <c r="T23" s="84"/>
      <c r="U23" s="84">
        <v>14</v>
      </c>
      <c r="V23" s="84">
        <v>1</v>
      </c>
      <c r="W23" s="1"/>
    </row>
    <row r="24" spans="1:33" s="3" customFormat="1" ht="16.5" thickBot="1" x14ac:dyDescent="0.3">
      <c r="A24" s="2" t="s">
        <v>267</v>
      </c>
      <c r="B24" s="2" t="s">
        <v>268</v>
      </c>
      <c r="C24" s="1">
        <v>34</v>
      </c>
      <c r="D24" s="1">
        <v>4</v>
      </c>
      <c r="E24" s="1">
        <v>14</v>
      </c>
      <c r="F24" s="84">
        <v>6</v>
      </c>
      <c r="G24" s="84">
        <v>8</v>
      </c>
      <c r="H24" s="84">
        <v>7</v>
      </c>
      <c r="I24" s="84">
        <v>8</v>
      </c>
      <c r="J24" s="84">
        <v>6</v>
      </c>
      <c r="K24" s="84">
        <v>6</v>
      </c>
      <c r="L24" s="84">
        <v>5</v>
      </c>
      <c r="M24" s="1">
        <v>29</v>
      </c>
      <c r="N24" s="1">
        <v>34</v>
      </c>
      <c r="O24" s="84">
        <v>10</v>
      </c>
      <c r="P24" s="84">
        <v>12</v>
      </c>
      <c r="Q24" s="84">
        <v>12</v>
      </c>
      <c r="R24" s="84">
        <v>14</v>
      </c>
      <c r="S24" s="84">
        <v>19</v>
      </c>
      <c r="T24" s="84">
        <v>14</v>
      </c>
      <c r="U24" s="84">
        <v>10</v>
      </c>
      <c r="V24" s="84">
        <v>16</v>
      </c>
      <c r="W24" s="1"/>
    </row>
    <row r="25" spans="1:33" s="3" customFormat="1" ht="16.5" thickBot="1" x14ac:dyDescent="0.3">
      <c r="A25" s="2" t="s">
        <v>258</v>
      </c>
      <c r="B25" s="2" t="s">
        <v>259</v>
      </c>
      <c r="C25" s="1">
        <v>12</v>
      </c>
      <c r="D25" s="1">
        <v>7</v>
      </c>
      <c r="E25" s="1"/>
      <c r="F25" s="84">
        <v>2</v>
      </c>
      <c r="G25" s="84">
        <v>4</v>
      </c>
      <c r="H25" s="84">
        <v>5</v>
      </c>
      <c r="I25" s="84">
        <v>10</v>
      </c>
      <c r="J25" s="84">
        <v>5</v>
      </c>
      <c r="K25" s="84">
        <v>5</v>
      </c>
      <c r="L25" s="84">
        <v>3</v>
      </c>
      <c r="M25" s="1">
        <v>26</v>
      </c>
      <c r="N25" s="1"/>
      <c r="O25" s="84">
        <v>10</v>
      </c>
      <c r="P25" s="84">
        <v>10</v>
      </c>
      <c r="Q25" s="84">
        <v>8</v>
      </c>
      <c r="R25" s="84">
        <v>6</v>
      </c>
      <c r="S25" s="84">
        <v>14</v>
      </c>
      <c r="T25" s="84">
        <v>14</v>
      </c>
      <c r="U25" s="84">
        <v>15</v>
      </c>
      <c r="V25" s="84">
        <v>12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3" customFormat="1" ht="16.5" thickBot="1" x14ac:dyDescent="0.3">
      <c r="A26" s="2" t="s">
        <v>156</v>
      </c>
      <c r="B26" s="2" t="s">
        <v>241</v>
      </c>
      <c r="C26" s="1">
        <v>15</v>
      </c>
      <c r="D26" s="1">
        <v>3</v>
      </c>
      <c r="E26" s="1">
        <v>1</v>
      </c>
      <c r="F26" s="84">
        <v>4</v>
      </c>
      <c r="G26" s="84">
        <v>5</v>
      </c>
      <c r="H26" s="84">
        <v>3</v>
      </c>
      <c r="I26" s="84">
        <v>10</v>
      </c>
      <c r="J26" s="84">
        <v>3</v>
      </c>
      <c r="K26" s="84">
        <v>3</v>
      </c>
      <c r="L26" s="84">
        <v>3</v>
      </c>
      <c r="M26" s="1">
        <v>17</v>
      </c>
      <c r="N26" s="1">
        <v>26</v>
      </c>
      <c r="O26" s="84"/>
      <c r="P26" s="84">
        <v>8</v>
      </c>
      <c r="Q26" s="84">
        <v>7</v>
      </c>
      <c r="R26" s="84">
        <v>6</v>
      </c>
      <c r="S26" s="84">
        <v>13</v>
      </c>
      <c r="T26" s="84"/>
      <c r="U26" s="84">
        <v>15</v>
      </c>
      <c r="V26" s="84">
        <v>6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3" customFormat="1" ht="16.5" thickBot="1" x14ac:dyDescent="0.3">
      <c r="A27" s="2" t="s">
        <v>310</v>
      </c>
      <c r="B27" s="2" t="s">
        <v>311</v>
      </c>
      <c r="C27" s="1">
        <v>19</v>
      </c>
      <c r="D27" s="1">
        <v>7</v>
      </c>
      <c r="E27" s="1">
        <v>20</v>
      </c>
      <c r="F27" s="84">
        <v>8</v>
      </c>
      <c r="G27" s="84">
        <v>6</v>
      </c>
      <c r="H27" s="84">
        <v>7</v>
      </c>
      <c r="I27" s="84">
        <v>12</v>
      </c>
      <c r="J27" s="84">
        <v>6</v>
      </c>
      <c r="K27" s="84">
        <v>5</v>
      </c>
      <c r="L27" s="84">
        <v>6</v>
      </c>
      <c r="M27" s="1">
        <v>24</v>
      </c>
      <c r="N27" s="1">
        <v>30</v>
      </c>
      <c r="O27" s="84">
        <v>19</v>
      </c>
      <c r="P27" s="84">
        <v>14</v>
      </c>
      <c r="Q27" s="84">
        <v>13</v>
      </c>
      <c r="R27" s="84"/>
      <c r="S27" s="84">
        <v>18</v>
      </c>
      <c r="T27" s="84">
        <v>13</v>
      </c>
      <c r="U27" s="84">
        <v>14</v>
      </c>
      <c r="V27" s="84">
        <v>10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3" customFormat="1" ht="16.5" thickBot="1" x14ac:dyDescent="0.3">
      <c r="A28" s="2" t="s">
        <v>300</v>
      </c>
      <c r="B28" s="2" t="s">
        <v>301</v>
      </c>
      <c r="C28" s="1">
        <v>11</v>
      </c>
      <c r="D28" s="1">
        <v>1</v>
      </c>
      <c r="E28" s="1">
        <v>8</v>
      </c>
      <c r="F28" s="84">
        <v>3</v>
      </c>
      <c r="G28" s="84">
        <v>6</v>
      </c>
      <c r="H28" s="84">
        <v>7</v>
      </c>
      <c r="I28" s="84">
        <v>14</v>
      </c>
      <c r="J28" s="84">
        <v>5</v>
      </c>
      <c r="K28" s="84">
        <v>3</v>
      </c>
      <c r="L28" s="84">
        <v>4</v>
      </c>
      <c r="M28" s="1">
        <v>22</v>
      </c>
      <c r="N28" s="1">
        <v>28</v>
      </c>
      <c r="O28" s="84">
        <v>14</v>
      </c>
      <c r="P28" s="84">
        <v>10</v>
      </c>
      <c r="Q28" s="84">
        <v>9</v>
      </c>
      <c r="R28" s="84">
        <v>20</v>
      </c>
      <c r="S28" s="84">
        <v>17</v>
      </c>
      <c r="T28" s="84">
        <v>14</v>
      </c>
      <c r="U28" s="84">
        <v>10</v>
      </c>
      <c r="V28" s="84">
        <v>14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3" customFormat="1" ht="16.5" thickBot="1" x14ac:dyDescent="0.3">
      <c r="A29" s="2" t="s">
        <v>271</v>
      </c>
      <c r="B29" s="2" t="s">
        <v>272</v>
      </c>
      <c r="C29" s="1">
        <v>10</v>
      </c>
      <c r="D29" s="1">
        <v>6</v>
      </c>
      <c r="E29" s="1">
        <v>8</v>
      </c>
      <c r="F29" s="84">
        <v>3</v>
      </c>
      <c r="G29" s="84">
        <v>3</v>
      </c>
      <c r="H29" s="84">
        <v>3</v>
      </c>
      <c r="I29" s="84">
        <v>6</v>
      </c>
      <c r="J29" s="84">
        <v>6</v>
      </c>
      <c r="K29" s="84">
        <v>4</v>
      </c>
      <c r="L29" s="84">
        <v>6</v>
      </c>
      <c r="M29" s="1">
        <v>26</v>
      </c>
      <c r="N29" s="1">
        <v>26</v>
      </c>
      <c r="O29" s="84">
        <v>14</v>
      </c>
      <c r="P29" s="84">
        <v>12</v>
      </c>
      <c r="Q29" s="84">
        <v>10</v>
      </c>
      <c r="R29" s="84">
        <v>16</v>
      </c>
      <c r="S29" s="84">
        <v>14</v>
      </c>
      <c r="T29" s="84">
        <v>12</v>
      </c>
      <c r="U29" s="84">
        <v>15</v>
      </c>
      <c r="V29" s="84">
        <v>15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3" customFormat="1" ht="16.5" thickBot="1" x14ac:dyDescent="0.3">
      <c r="A30" s="2" t="s">
        <v>260</v>
      </c>
      <c r="B30" s="2" t="s">
        <v>261</v>
      </c>
      <c r="C30" s="1">
        <v>27</v>
      </c>
      <c r="D30" s="1">
        <v>3</v>
      </c>
      <c r="E30" s="1">
        <v>2</v>
      </c>
      <c r="F30" s="84">
        <v>6</v>
      </c>
      <c r="G30" s="84">
        <v>5</v>
      </c>
      <c r="H30" s="84">
        <v>6</v>
      </c>
      <c r="I30" s="84">
        <v>12</v>
      </c>
      <c r="J30" s="84">
        <v>6</v>
      </c>
      <c r="K30" s="84">
        <v>5</v>
      </c>
      <c r="L30" s="84">
        <v>7</v>
      </c>
      <c r="M30" s="1">
        <v>26</v>
      </c>
      <c r="N30" s="1">
        <v>26</v>
      </c>
      <c r="O30" s="84">
        <v>8</v>
      </c>
      <c r="P30" s="84">
        <v>8</v>
      </c>
      <c r="Q30" s="84">
        <v>10</v>
      </c>
      <c r="R30" s="84">
        <v>14</v>
      </c>
      <c r="S30" s="84">
        <v>16</v>
      </c>
      <c r="T30" s="84">
        <v>13</v>
      </c>
      <c r="U30" s="84">
        <v>15</v>
      </c>
      <c r="V30" s="84">
        <v>13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3" customFormat="1" ht="16.5" thickBot="1" x14ac:dyDescent="0.3">
      <c r="A31" s="2" t="s">
        <v>335</v>
      </c>
      <c r="B31" s="2" t="s">
        <v>336</v>
      </c>
      <c r="C31" s="1">
        <v>17</v>
      </c>
      <c r="D31" s="1">
        <v>3</v>
      </c>
      <c r="E31" s="1">
        <v>8</v>
      </c>
      <c r="F31" s="84">
        <v>9</v>
      </c>
      <c r="G31" s="84">
        <v>7</v>
      </c>
      <c r="H31" s="84">
        <v>7</v>
      </c>
      <c r="I31" s="84">
        <v>14</v>
      </c>
      <c r="J31" s="84">
        <v>5</v>
      </c>
      <c r="K31" s="84">
        <v>5</v>
      </c>
      <c r="L31" s="84">
        <v>6</v>
      </c>
      <c r="M31" s="1">
        <v>20</v>
      </c>
      <c r="N31" s="1">
        <v>35</v>
      </c>
      <c r="O31" s="84">
        <v>13</v>
      </c>
      <c r="P31" s="84">
        <v>10</v>
      </c>
      <c r="Q31" s="84">
        <v>10</v>
      </c>
      <c r="R31" s="84">
        <v>20</v>
      </c>
      <c r="S31" s="84">
        <v>15</v>
      </c>
      <c r="T31" s="84"/>
      <c r="U31" s="84">
        <v>11</v>
      </c>
      <c r="V31" s="84">
        <v>7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3" customFormat="1" ht="16.5" thickBot="1" x14ac:dyDescent="0.3">
      <c r="A32" s="2" t="s">
        <v>263</v>
      </c>
      <c r="B32" s="2" t="s">
        <v>264</v>
      </c>
      <c r="C32" s="1">
        <v>15</v>
      </c>
      <c r="D32" s="1">
        <v>3</v>
      </c>
      <c r="E32" s="1"/>
      <c r="F32" s="84">
        <v>6</v>
      </c>
      <c r="G32" s="84">
        <v>4</v>
      </c>
      <c r="H32" s="84">
        <v>4</v>
      </c>
      <c r="I32" s="84">
        <v>8</v>
      </c>
      <c r="J32" s="84">
        <v>5</v>
      </c>
      <c r="K32" s="84">
        <v>6</v>
      </c>
      <c r="L32" s="84">
        <v>4</v>
      </c>
      <c r="M32" s="1">
        <v>21</v>
      </c>
      <c r="N32" s="1">
        <v>27</v>
      </c>
      <c r="O32" s="84">
        <v>7</v>
      </c>
      <c r="P32" s="84">
        <v>10</v>
      </c>
      <c r="Q32" s="84">
        <v>11</v>
      </c>
      <c r="R32" s="84">
        <v>16</v>
      </c>
      <c r="S32" s="84">
        <v>17</v>
      </c>
      <c r="T32" s="84">
        <v>14</v>
      </c>
      <c r="U32" s="84">
        <v>9</v>
      </c>
      <c r="V32" s="84">
        <v>1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3" customFormat="1" ht="16.5" thickBot="1" x14ac:dyDescent="0.3">
      <c r="A33" s="2" t="s">
        <v>306</v>
      </c>
      <c r="B33" s="2" t="s">
        <v>307</v>
      </c>
      <c r="C33" s="1">
        <v>13</v>
      </c>
      <c r="D33" s="1">
        <v>2</v>
      </c>
      <c r="E33" s="1">
        <v>18</v>
      </c>
      <c r="F33" s="84">
        <v>1</v>
      </c>
      <c r="G33" s="84">
        <v>5</v>
      </c>
      <c r="H33" s="84">
        <v>5</v>
      </c>
      <c r="I33" s="84">
        <v>5</v>
      </c>
      <c r="J33" s="84">
        <v>4</v>
      </c>
      <c r="K33" s="84">
        <v>4</v>
      </c>
      <c r="L33" s="84">
        <v>2</v>
      </c>
      <c r="M33" s="1">
        <v>23</v>
      </c>
      <c r="N33" s="1">
        <v>31</v>
      </c>
      <c r="O33" s="84">
        <v>18</v>
      </c>
      <c r="P33" s="84">
        <v>10</v>
      </c>
      <c r="Q33" s="84">
        <v>12</v>
      </c>
      <c r="R33" s="84">
        <v>20</v>
      </c>
      <c r="S33" s="84">
        <v>14</v>
      </c>
      <c r="T33" s="84">
        <v>14</v>
      </c>
      <c r="U33" s="84">
        <v>14</v>
      </c>
      <c r="V33" s="84">
        <v>10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3" customFormat="1" ht="16.5" thickBot="1" x14ac:dyDescent="0.3">
      <c r="A34" s="2" t="s">
        <v>244</v>
      </c>
      <c r="B34" s="2" t="s">
        <v>245</v>
      </c>
      <c r="C34" s="1">
        <v>16</v>
      </c>
      <c r="D34" s="1">
        <v>3</v>
      </c>
      <c r="E34" s="1">
        <v>4</v>
      </c>
      <c r="F34" s="84">
        <v>4</v>
      </c>
      <c r="G34" s="84">
        <v>3</v>
      </c>
      <c r="H34" s="84">
        <v>3</v>
      </c>
      <c r="I34" s="84">
        <v>6</v>
      </c>
      <c r="J34" s="84">
        <v>3</v>
      </c>
      <c r="K34" s="84">
        <v>5</v>
      </c>
      <c r="L34" s="84">
        <v>4</v>
      </c>
      <c r="M34" s="1">
        <v>9</v>
      </c>
      <c r="N34" s="1">
        <v>29</v>
      </c>
      <c r="O34" s="84">
        <v>12</v>
      </c>
      <c r="P34" s="84">
        <v>6</v>
      </c>
      <c r="Q34" s="84">
        <v>9</v>
      </c>
      <c r="R34" s="84">
        <v>6</v>
      </c>
      <c r="S34" s="84">
        <v>16</v>
      </c>
      <c r="T34" s="84">
        <v>12</v>
      </c>
      <c r="U34" s="84">
        <v>13</v>
      </c>
      <c r="V34" s="84">
        <v>5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3" customFormat="1" ht="16.5" thickBot="1" x14ac:dyDescent="0.3">
      <c r="A35" s="2" t="s">
        <v>252</v>
      </c>
      <c r="B35" s="2" t="s">
        <v>253</v>
      </c>
      <c r="C35" s="1">
        <v>9</v>
      </c>
      <c r="D35" s="1">
        <v>5</v>
      </c>
      <c r="E35" s="1">
        <v>2</v>
      </c>
      <c r="F35" s="84">
        <v>2</v>
      </c>
      <c r="G35" s="84">
        <v>4</v>
      </c>
      <c r="H35" s="84">
        <v>5</v>
      </c>
      <c r="I35" s="84">
        <v>10</v>
      </c>
      <c r="J35" s="84">
        <v>2</v>
      </c>
      <c r="K35" s="84">
        <v>4</v>
      </c>
      <c r="L35" s="84">
        <v>2</v>
      </c>
      <c r="M35" s="1">
        <v>11</v>
      </c>
      <c r="N35" s="1">
        <v>21</v>
      </c>
      <c r="O35" s="84">
        <v>19</v>
      </c>
      <c r="P35" s="84"/>
      <c r="Q35" s="84">
        <v>8</v>
      </c>
      <c r="R35" s="84">
        <v>6</v>
      </c>
      <c r="S35" s="84">
        <v>13</v>
      </c>
      <c r="T35" s="84">
        <v>2</v>
      </c>
      <c r="U35" s="84">
        <v>14</v>
      </c>
      <c r="V35" s="84">
        <v>14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s="3" customFormat="1" ht="16.5" thickBot="1" x14ac:dyDescent="0.3">
      <c r="A36" s="2" t="s">
        <v>265</v>
      </c>
      <c r="B36" s="2" t="s">
        <v>266</v>
      </c>
      <c r="C36" s="1">
        <v>15</v>
      </c>
      <c r="D36" s="1">
        <v>2</v>
      </c>
      <c r="E36" s="1">
        <v>4</v>
      </c>
      <c r="F36" s="84">
        <v>5</v>
      </c>
      <c r="G36" s="84">
        <v>6</v>
      </c>
      <c r="H36" s="84">
        <v>5</v>
      </c>
      <c r="I36" s="84">
        <v>12</v>
      </c>
      <c r="J36" s="84">
        <v>4</v>
      </c>
      <c r="K36" s="84">
        <v>5</v>
      </c>
      <c r="L36" s="84">
        <v>5</v>
      </c>
      <c r="M36" s="1">
        <v>24</v>
      </c>
      <c r="N36" s="1">
        <v>25</v>
      </c>
      <c r="O36" s="84"/>
      <c r="P36" s="84">
        <v>10</v>
      </c>
      <c r="Q36" s="84">
        <v>11</v>
      </c>
      <c r="R36" s="84">
        <v>14</v>
      </c>
      <c r="S36" s="84">
        <v>17</v>
      </c>
      <c r="T36" s="84">
        <v>11</v>
      </c>
      <c r="U36" s="84">
        <v>9</v>
      </c>
      <c r="V36" s="84">
        <v>13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s="3" customFormat="1" ht="16.5" thickBot="1" x14ac:dyDescent="0.3">
      <c r="A37" s="2" t="s">
        <v>284</v>
      </c>
      <c r="B37" s="2" t="s">
        <v>285</v>
      </c>
      <c r="C37" s="1">
        <v>18</v>
      </c>
      <c r="D37" s="1">
        <v>3</v>
      </c>
      <c r="E37" s="1">
        <v>14</v>
      </c>
      <c r="F37" s="84">
        <v>5</v>
      </c>
      <c r="G37" s="84">
        <v>5</v>
      </c>
      <c r="H37" s="84">
        <v>5</v>
      </c>
      <c r="I37" s="84">
        <v>10</v>
      </c>
      <c r="J37" s="84">
        <v>4</v>
      </c>
      <c r="K37" s="84">
        <v>5</v>
      </c>
      <c r="L37" s="84">
        <v>2</v>
      </c>
      <c r="M37" s="1">
        <v>24</v>
      </c>
      <c r="N37" s="1">
        <v>21</v>
      </c>
      <c r="O37" s="84">
        <v>14</v>
      </c>
      <c r="P37" s="84">
        <v>8</v>
      </c>
      <c r="Q37" s="84">
        <v>13</v>
      </c>
      <c r="R37" s="84">
        <v>6</v>
      </c>
      <c r="S37" s="84">
        <v>14</v>
      </c>
      <c r="T37" s="84">
        <v>13</v>
      </c>
      <c r="U37" s="84">
        <v>14</v>
      </c>
      <c r="V37" s="84">
        <v>1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s="3" customFormat="1" ht="16.5" thickBot="1" x14ac:dyDescent="0.3">
      <c r="A38" s="2" t="s">
        <v>317</v>
      </c>
      <c r="B38" s="2" t="s">
        <v>318</v>
      </c>
      <c r="C38" s="1">
        <v>24</v>
      </c>
      <c r="D38" s="1">
        <v>6</v>
      </c>
      <c r="E38" s="1">
        <v>12</v>
      </c>
      <c r="F38" s="84">
        <v>3</v>
      </c>
      <c r="G38" s="84">
        <v>5</v>
      </c>
      <c r="H38" s="84">
        <v>5</v>
      </c>
      <c r="I38" s="84">
        <v>10</v>
      </c>
      <c r="J38" s="84">
        <v>5</v>
      </c>
      <c r="K38" s="84">
        <v>5</v>
      </c>
      <c r="L38" s="84">
        <v>5</v>
      </c>
      <c r="M38" s="1">
        <v>29</v>
      </c>
      <c r="N38" s="1">
        <v>33</v>
      </c>
      <c r="O38" s="84">
        <v>17</v>
      </c>
      <c r="P38" s="84">
        <v>6</v>
      </c>
      <c r="Q38" s="84">
        <v>11</v>
      </c>
      <c r="R38" s="84">
        <v>10</v>
      </c>
      <c r="S38" s="84">
        <v>17</v>
      </c>
      <c r="T38" s="84">
        <v>11</v>
      </c>
      <c r="U38" s="84">
        <v>13</v>
      </c>
      <c r="V38" s="84">
        <v>15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s="3" customFormat="1" ht="16.5" thickBot="1" x14ac:dyDescent="0.3">
      <c r="A39" s="2" t="s">
        <v>239</v>
      </c>
      <c r="B39" s="2" t="s">
        <v>240</v>
      </c>
      <c r="C39" s="1">
        <v>28</v>
      </c>
      <c r="D39" s="1">
        <v>6</v>
      </c>
      <c r="E39" s="1">
        <v>6</v>
      </c>
      <c r="F39" s="84">
        <v>3</v>
      </c>
      <c r="G39" s="84">
        <v>3</v>
      </c>
      <c r="H39" s="84">
        <v>2</v>
      </c>
      <c r="I39" s="84">
        <v>6</v>
      </c>
      <c r="J39" s="84">
        <v>3</v>
      </c>
      <c r="K39" s="84">
        <v>5</v>
      </c>
      <c r="L39" s="84">
        <v>6</v>
      </c>
      <c r="M39" s="1">
        <v>17</v>
      </c>
      <c r="N39" s="1">
        <v>26</v>
      </c>
      <c r="O39" s="84">
        <v>7</v>
      </c>
      <c r="P39" s="84">
        <v>12</v>
      </c>
      <c r="Q39" s="84">
        <v>7</v>
      </c>
      <c r="R39" s="84">
        <v>6</v>
      </c>
      <c r="S39" s="84">
        <v>13</v>
      </c>
      <c r="T39" s="84">
        <v>11</v>
      </c>
      <c r="U39" s="84">
        <v>15</v>
      </c>
      <c r="V39" s="84">
        <v>6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s="3" customFormat="1" ht="16.5" thickBot="1" x14ac:dyDescent="0.3">
      <c r="A40" s="2" t="s">
        <v>294</v>
      </c>
      <c r="B40" s="2" t="s">
        <v>312</v>
      </c>
      <c r="C40" s="1">
        <v>12</v>
      </c>
      <c r="D40" s="1">
        <v>1</v>
      </c>
      <c r="E40" s="1">
        <v>12</v>
      </c>
      <c r="F40" s="84">
        <v>6</v>
      </c>
      <c r="G40" s="84">
        <v>5</v>
      </c>
      <c r="H40" s="84">
        <v>5</v>
      </c>
      <c r="I40" s="84">
        <v>12</v>
      </c>
      <c r="J40" s="84">
        <v>5</v>
      </c>
      <c r="K40" s="84">
        <v>7</v>
      </c>
      <c r="L40" s="84">
        <v>6</v>
      </c>
      <c r="M40" s="1">
        <v>29</v>
      </c>
      <c r="N40" s="1">
        <v>37</v>
      </c>
      <c r="O40" s="84">
        <v>8</v>
      </c>
      <c r="P40" s="84">
        <v>12</v>
      </c>
      <c r="Q40" s="84">
        <v>9</v>
      </c>
      <c r="R40" s="84">
        <v>16</v>
      </c>
      <c r="S40" s="84">
        <v>15</v>
      </c>
      <c r="T40" s="84">
        <v>14</v>
      </c>
      <c r="U40" s="84">
        <v>12</v>
      </c>
      <c r="V40" s="84">
        <v>13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s="3" customFormat="1" ht="16.5" thickBot="1" x14ac:dyDescent="0.3">
      <c r="A41" s="2" t="s">
        <v>254</v>
      </c>
      <c r="B41" s="2" t="s">
        <v>255</v>
      </c>
      <c r="C41" s="1">
        <v>15</v>
      </c>
      <c r="D41" s="1">
        <v>4</v>
      </c>
      <c r="E41" s="1">
        <v>7</v>
      </c>
      <c r="F41" s="84">
        <v>8</v>
      </c>
      <c r="G41" s="84">
        <v>6</v>
      </c>
      <c r="H41" s="84">
        <v>6</v>
      </c>
      <c r="I41" s="84">
        <v>12</v>
      </c>
      <c r="J41" s="84">
        <v>4</v>
      </c>
      <c r="K41" s="84">
        <v>4</v>
      </c>
      <c r="L41" s="84">
        <v>5</v>
      </c>
      <c r="M41" s="1">
        <v>29</v>
      </c>
      <c r="N41" s="1">
        <v>30</v>
      </c>
      <c r="O41" s="84">
        <v>8</v>
      </c>
      <c r="P41" s="84">
        <v>10</v>
      </c>
      <c r="Q41" s="84">
        <v>11</v>
      </c>
      <c r="R41" s="84">
        <v>14</v>
      </c>
      <c r="S41" s="84">
        <v>17</v>
      </c>
      <c r="T41" s="84">
        <v>13</v>
      </c>
      <c r="U41" s="84">
        <v>14</v>
      </c>
      <c r="V41" s="84">
        <v>13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thickBot="1" x14ac:dyDescent="0.3">
      <c r="A42" s="2" t="s">
        <v>246</v>
      </c>
      <c r="B42" s="2" t="s">
        <v>247</v>
      </c>
      <c r="C42" s="1">
        <v>14</v>
      </c>
      <c r="D42" s="1">
        <v>6</v>
      </c>
      <c r="E42" s="1">
        <v>16</v>
      </c>
      <c r="F42" s="84">
        <v>3</v>
      </c>
      <c r="G42" s="84">
        <v>5</v>
      </c>
      <c r="H42" s="84">
        <v>4</v>
      </c>
      <c r="I42" s="84">
        <v>10</v>
      </c>
      <c r="J42" s="84">
        <v>3</v>
      </c>
      <c r="K42" s="84">
        <v>4</v>
      </c>
      <c r="L42" s="84">
        <v>3</v>
      </c>
      <c r="M42" s="1">
        <v>21</v>
      </c>
      <c r="N42" s="1">
        <v>27</v>
      </c>
      <c r="O42" s="84">
        <v>7</v>
      </c>
      <c r="P42" s="84">
        <v>10</v>
      </c>
      <c r="Q42" s="84">
        <v>10</v>
      </c>
      <c r="R42" s="84">
        <v>6</v>
      </c>
      <c r="S42" s="84">
        <v>16</v>
      </c>
      <c r="T42" s="84">
        <v>13</v>
      </c>
      <c r="U42" s="84">
        <v>13</v>
      </c>
      <c r="V42" s="84">
        <v>13</v>
      </c>
    </row>
    <row r="43" spans="1:33" ht="16.5" thickBot="1" x14ac:dyDescent="0.3">
      <c r="A43" s="2" t="s">
        <v>293</v>
      </c>
      <c r="B43" s="2" t="s">
        <v>294</v>
      </c>
      <c r="C43" s="1">
        <v>30</v>
      </c>
      <c r="D43" s="1">
        <v>6</v>
      </c>
      <c r="E43" s="1">
        <v>18</v>
      </c>
      <c r="F43" s="84">
        <v>6</v>
      </c>
      <c r="G43" s="84">
        <v>7</v>
      </c>
      <c r="H43" s="84">
        <v>7</v>
      </c>
      <c r="I43" s="84">
        <v>14</v>
      </c>
      <c r="J43" s="84">
        <v>5</v>
      </c>
      <c r="K43" s="84">
        <v>8</v>
      </c>
      <c r="L43" s="84">
        <v>5</v>
      </c>
      <c r="M43" s="1">
        <v>20</v>
      </c>
      <c r="N43" s="1">
        <v>37</v>
      </c>
      <c r="O43" s="84">
        <v>12</v>
      </c>
      <c r="P43" s="84">
        <v>10</v>
      </c>
      <c r="Q43" s="84">
        <v>12</v>
      </c>
      <c r="R43" s="84">
        <v>18</v>
      </c>
      <c r="S43" s="84">
        <v>14</v>
      </c>
      <c r="T43" s="84">
        <v>13</v>
      </c>
      <c r="U43" s="84">
        <v>14</v>
      </c>
      <c r="V43" s="84">
        <v>12</v>
      </c>
    </row>
    <row r="44" spans="1:33" ht="16.5" thickBot="1" x14ac:dyDescent="0.3">
      <c r="A44" s="2" t="s">
        <v>293</v>
      </c>
      <c r="B44" s="2" t="s">
        <v>343</v>
      </c>
      <c r="C44" s="1">
        <v>31</v>
      </c>
      <c r="D44" s="1">
        <v>4</v>
      </c>
      <c r="E44" s="1">
        <v>20</v>
      </c>
      <c r="F44" s="84">
        <v>8</v>
      </c>
      <c r="G44" s="84">
        <v>6</v>
      </c>
      <c r="H44" s="84">
        <v>7</v>
      </c>
      <c r="I44" s="84">
        <v>12</v>
      </c>
      <c r="J44" s="84">
        <v>6</v>
      </c>
      <c r="K44" s="84">
        <v>7</v>
      </c>
      <c r="L44" s="84">
        <v>5</v>
      </c>
      <c r="M44" s="1">
        <v>30</v>
      </c>
      <c r="N44" s="1">
        <v>38</v>
      </c>
      <c r="O44" s="84">
        <v>13</v>
      </c>
      <c r="P44" s="84">
        <v>12</v>
      </c>
      <c r="Q44" s="84">
        <v>12</v>
      </c>
      <c r="R44" s="84">
        <v>14</v>
      </c>
      <c r="S44" s="84">
        <v>18</v>
      </c>
      <c r="T44" s="84">
        <v>14</v>
      </c>
      <c r="U44" s="84">
        <v>14</v>
      </c>
      <c r="V44" s="84">
        <v>14</v>
      </c>
    </row>
    <row r="45" spans="1:33" ht="16.5" thickBot="1" x14ac:dyDescent="0.3">
      <c r="A45" s="2" t="s">
        <v>293</v>
      </c>
      <c r="B45" s="2" t="s">
        <v>139</v>
      </c>
      <c r="C45" s="1">
        <v>22</v>
      </c>
      <c r="D45" s="1">
        <v>4</v>
      </c>
      <c r="E45" s="1">
        <v>12</v>
      </c>
      <c r="F45" s="84">
        <v>6</v>
      </c>
      <c r="G45" s="84">
        <v>5</v>
      </c>
      <c r="H45" s="84">
        <v>5</v>
      </c>
      <c r="I45" s="84">
        <v>10</v>
      </c>
      <c r="J45" s="84">
        <v>4</v>
      </c>
      <c r="K45" s="84">
        <v>5</v>
      </c>
      <c r="L45" s="84">
        <v>4</v>
      </c>
      <c r="M45" s="1">
        <v>26</v>
      </c>
      <c r="N45" s="1">
        <v>23</v>
      </c>
      <c r="O45" s="84">
        <v>12</v>
      </c>
      <c r="P45" s="84">
        <v>10</v>
      </c>
      <c r="Q45" s="84">
        <v>10</v>
      </c>
      <c r="R45" s="84">
        <v>6</v>
      </c>
      <c r="S45" s="84">
        <v>16</v>
      </c>
      <c r="T45" s="84">
        <v>15</v>
      </c>
      <c r="U45" s="84">
        <v>13</v>
      </c>
      <c r="V45" s="84">
        <v>10</v>
      </c>
    </row>
    <row r="46" spans="1:33" ht="16.5" thickBot="1" x14ac:dyDescent="0.3">
      <c r="A46" s="2" t="s">
        <v>344</v>
      </c>
      <c r="B46" s="2" t="s">
        <v>345</v>
      </c>
      <c r="C46" s="1">
        <v>4</v>
      </c>
      <c r="D46" s="1">
        <v>3</v>
      </c>
      <c r="E46" s="1">
        <v>8</v>
      </c>
      <c r="F46" s="84">
        <v>3</v>
      </c>
      <c r="G46" s="84">
        <v>3</v>
      </c>
      <c r="H46" s="84">
        <v>3</v>
      </c>
      <c r="I46" s="84">
        <v>8</v>
      </c>
      <c r="J46" s="84">
        <v>3</v>
      </c>
      <c r="K46" s="84">
        <v>6</v>
      </c>
      <c r="L46" s="84"/>
      <c r="M46" s="1">
        <v>19</v>
      </c>
      <c r="O46" s="84" t="s">
        <v>357</v>
      </c>
      <c r="P46" s="84">
        <v>11</v>
      </c>
      <c r="Q46" s="84">
        <v>13</v>
      </c>
      <c r="R46" s="84">
        <v>6</v>
      </c>
      <c r="S46" s="84">
        <v>11</v>
      </c>
      <c r="T46" s="84">
        <v>14</v>
      </c>
      <c r="U46" s="84">
        <v>15</v>
      </c>
      <c r="V46" s="84">
        <v>1</v>
      </c>
    </row>
    <row r="47" spans="1:33" ht="16.5" thickBot="1" x14ac:dyDescent="0.3">
      <c r="A47" s="2" t="s">
        <v>184</v>
      </c>
      <c r="B47" s="2" t="s">
        <v>346</v>
      </c>
      <c r="F47" s="84"/>
      <c r="G47" s="84"/>
      <c r="H47" s="84"/>
      <c r="I47" s="84"/>
      <c r="J47" s="84"/>
      <c r="K47" s="84"/>
      <c r="L47" s="84"/>
      <c r="O47" s="84"/>
      <c r="P47" s="84">
        <v>10</v>
      </c>
      <c r="Q47" s="84"/>
      <c r="R47" s="84">
        <v>146</v>
      </c>
      <c r="S47" s="84"/>
      <c r="T47" s="84"/>
      <c r="U47" s="84"/>
      <c r="V47" s="84"/>
    </row>
    <row r="48" spans="1:33" ht="16.5" thickBot="1" x14ac:dyDescent="0.3">
      <c r="A48" s="2" t="s">
        <v>250</v>
      </c>
      <c r="B48" s="2" t="s">
        <v>251</v>
      </c>
      <c r="C48" s="1">
        <v>6</v>
      </c>
      <c r="D48" s="1">
        <v>4</v>
      </c>
      <c r="E48" s="1">
        <v>4</v>
      </c>
      <c r="F48" s="84">
        <v>3</v>
      </c>
      <c r="G48" s="84">
        <v>3</v>
      </c>
      <c r="H48" s="84">
        <v>3</v>
      </c>
      <c r="I48" s="84">
        <v>6</v>
      </c>
      <c r="J48" s="84">
        <v>5</v>
      </c>
      <c r="K48" s="84">
        <v>5</v>
      </c>
      <c r="L48" s="84">
        <v>2</v>
      </c>
      <c r="M48" s="1">
        <v>26</v>
      </c>
      <c r="N48" s="1">
        <v>24</v>
      </c>
      <c r="O48" s="84">
        <v>7</v>
      </c>
      <c r="P48" s="84">
        <v>10</v>
      </c>
      <c r="Q48" s="84">
        <v>8</v>
      </c>
      <c r="R48" s="84">
        <v>6</v>
      </c>
      <c r="S48" s="84">
        <v>14</v>
      </c>
      <c r="T48" s="84">
        <v>12</v>
      </c>
      <c r="U48" s="84">
        <v>12</v>
      </c>
      <c r="V48" s="84">
        <v>13</v>
      </c>
    </row>
    <row r="49" spans="1:32" ht="16.5" thickBot="1" x14ac:dyDescent="0.3">
      <c r="A49" s="2" t="s">
        <v>269</v>
      </c>
      <c r="B49" s="2" t="s">
        <v>270</v>
      </c>
      <c r="C49" s="1">
        <v>20</v>
      </c>
      <c r="D49" s="1">
        <v>3</v>
      </c>
      <c r="E49" s="1">
        <v>6</v>
      </c>
      <c r="F49" s="84">
        <v>6</v>
      </c>
      <c r="G49" s="84">
        <v>7</v>
      </c>
      <c r="H49" s="84">
        <v>7</v>
      </c>
      <c r="I49" s="84">
        <v>16</v>
      </c>
      <c r="J49" s="84">
        <v>5</v>
      </c>
      <c r="K49" s="84">
        <v>5</v>
      </c>
      <c r="L49" s="84">
        <v>3</v>
      </c>
      <c r="M49" s="1">
        <v>30</v>
      </c>
      <c r="N49" s="1">
        <v>27</v>
      </c>
      <c r="O49" s="84">
        <v>13</v>
      </c>
      <c r="P49" s="84">
        <v>10</v>
      </c>
      <c r="Q49" s="84">
        <v>12</v>
      </c>
      <c r="R49" s="84">
        <v>8</v>
      </c>
      <c r="S49" s="84">
        <v>16</v>
      </c>
      <c r="T49" s="84">
        <v>14</v>
      </c>
      <c r="U49" s="84">
        <v>7</v>
      </c>
      <c r="V49" s="84">
        <v>15</v>
      </c>
    </row>
    <row r="50" spans="1:32" ht="16.5" thickBot="1" x14ac:dyDescent="0.3">
      <c r="A50" s="2" t="s">
        <v>331</v>
      </c>
      <c r="B50" s="2" t="s">
        <v>332</v>
      </c>
      <c r="C50" s="1">
        <v>29</v>
      </c>
      <c r="D50" s="1">
        <v>4</v>
      </c>
      <c r="E50" s="1">
        <v>20</v>
      </c>
      <c r="F50" s="84">
        <v>10</v>
      </c>
      <c r="G50" s="84">
        <v>5</v>
      </c>
      <c r="H50" s="84">
        <v>5</v>
      </c>
      <c r="I50" s="84">
        <v>10</v>
      </c>
      <c r="J50" s="84">
        <v>7</v>
      </c>
      <c r="K50" s="84">
        <v>5</v>
      </c>
      <c r="L50" s="84">
        <v>8</v>
      </c>
      <c r="M50" s="1">
        <v>30</v>
      </c>
      <c r="N50" s="1">
        <v>36</v>
      </c>
      <c r="O50" s="84">
        <v>14</v>
      </c>
      <c r="P50" s="84">
        <v>12</v>
      </c>
      <c r="Q50" s="84">
        <v>13</v>
      </c>
      <c r="R50" s="84">
        <v>14</v>
      </c>
      <c r="S50" s="84">
        <v>17</v>
      </c>
      <c r="T50" s="84">
        <v>14</v>
      </c>
      <c r="U50" s="84">
        <v>14</v>
      </c>
      <c r="V50" s="84">
        <v>16</v>
      </c>
    </row>
    <row r="51" spans="1:32" ht="16.5" thickBot="1" x14ac:dyDescent="0.3">
      <c r="A51" s="2" t="s">
        <v>337</v>
      </c>
      <c r="B51" s="2" t="s">
        <v>338</v>
      </c>
      <c r="C51" s="1">
        <v>25</v>
      </c>
      <c r="D51" s="1">
        <v>3</v>
      </c>
      <c r="E51" s="1">
        <v>4</v>
      </c>
      <c r="F51" s="84">
        <v>3</v>
      </c>
      <c r="G51" s="84">
        <v>5</v>
      </c>
      <c r="H51" s="84">
        <v>5</v>
      </c>
      <c r="I51" s="84">
        <v>10</v>
      </c>
      <c r="J51" s="84">
        <v>3</v>
      </c>
      <c r="K51" s="84">
        <v>6</v>
      </c>
      <c r="L51" s="84">
        <v>2</v>
      </c>
      <c r="M51" s="1">
        <v>20</v>
      </c>
      <c r="N51" s="1">
        <v>27</v>
      </c>
      <c r="O51" s="84">
        <v>8</v>
      </c>
      <c r="P51" s="84">
        <v>10</v>
      </c>
      <c r="Q51" s="84">
        <v>10</v>
      </c>
      <c r="R51" s="84">
        <v>12</v>
      </c>
      <c r="S51" s="84">
        <v>17</v>
      </c>
      <c r="T51" s="84">
        <v>14</v>
      </c>
      <c r="U51" s="84">
        <v>10</v>
      </c>
      <c r="V51" s="84">
        <v>13</v>
      </c>
      <c r="AF51" s="1" t="s">
        <v>357</v>
      </c>
    </row>
    <row r="52" spans="1:32" ht="16.5" thickBot="1" x14ac:dyDescent="0.3">
      <c r="A52" s="2" t="s">
        <v>304</v>
      </c>
      <c r="B52" s="2" t="s">
        <v>305</v>
      </c>
      <c r="C52" s="1">
        <v>23</v>
      </c>
      <c r="D52" s="1">
        <v>6</v>
      </c>
      <c r="E52" s="1">
        <v>6</v>
      </c>
      <c r="F52" s="84">
        <v>6</v>
      </c>
      <c r="G52" s="84">
        <v>5</v>
      </c>
      <c r="H52" s="84">
        <v>5</v>
      </c>
      <c r="I52" s="84">
        <v>12</v>
      </c>
      <c r="J52" s="84">
        <v>4</v>
      </c>
      <c r="K52" s="84">
        <v>4</v>
      </c>
      <c r="L52" s="84">
        <v>4</v>
      </c>
      <c r="M52" s="1">
        <v>22</v>
      </c>
      <c r="N52" s="1">
        <v>30</v>
      </c>
      <c r="O52" s="84">
        <v>7</v>
      </c>
      <c r="P52" s="84">
        <v>12</v>
      </c>
      <c r="Q52" s="84">
        <v>14</v>
      </c>
      <c r="R52" s="84">
        <v>18</v>
      </c>
      <c r="S52" s="84">
        <v>18</v>
      </c>
      <c r="T52" s="84">
        <v>13</v>
      </c>
      <c r="U52" s="84">
        <v>13</v>
      </c>
      <c r="V52" s="84">
        <v>1</v>
      </c>
    </row>
    <row r="53" spans="1:32" ht="16.5" thickBot="1" x14ac:dyDescent="0.3">
      <c r="A53" s="2" t="s">
        <v>281</v>
      </c>
      <c r="B53" s="2" t="s">
        <v>282</v>
      </c>
      <c r="C53" s="1">
        <v>11</v>
      </c>
      <c r="D53" s="1">
        <v>4</v>
      </c>
      <c r="E53" s="1">
        <v>20</v>
      </c>
      <c r="F53" s="84">
        <v>4</v>
      </c>
      <c r="G53" s="84">
        <v>5</v>
      </c>
      <c r="H53" s="84">
        <v>3</v>
      </c>
      <c r="I53" s="84">
        <v>10</v>
      </c>
      <c r="J53" s="84">
        <v>4</v>
      </c>
      <c r="K53" s="84">
        <v>5</v>
      </c>
      <c r="L53" s="84">
        <v>3</v>
      </c>
      <c r="M53" s="1">
        <v>19</v>
      </c>
      <c r="O53" s="84">
        <v>14</v>
      </c>
      <c r="P53" s="84">
        <v>10</v>
      </c>
      <c r="Q53" s="84">
        <v>12</v>
      </c>
      <c r="R53" s="84">
        <v>6</v>
      </c>
      <c r="S53" s="84">
        <v>17</v>
      </c>
      <c r="T53" s="84">
        <v>10</v>
      </c>
      <c r="U53" s="84">
        <v>12</v>
      </c>
      <c r="V53" s="84">
        <v>10</v>
      </c>
    </row>
    <row r="54" spans="1:32" ht="16.5" thickBot="1" x14ac:dyDescent="0.3">
      <c r="A54" s="2" t="s">
        <v>347</v>
      </c>
      <c r="B54" s="2" t="s">
        <v>348</v>
      </c>
      <c r="C54" s="1">
        <v>0</v>
      </c>
      <c r="D54" s="1">
        <v>1</v>
      </c>
      <c r="E54" s="1">
        <v>3</v>
      </c>
      <c r="F54" s="84">
        <v>1</v>
      </c>
      <c r="G54" s="84">
        <v>3</v>
      </c>
      <c r="H54" s="84">
        <v>2</v>
      </c>
      <c r="I54" s="84">
        <v>6</v>
      </c>
      <c r="J54" s="84">
        <v>3</v>
      </c>
      <c r="K54" s="84"/>
      <c r="L54" s="84">
        <v>1</v>
      </c>
      <c r="M54" s="1">
        <v>17</v>
      </c>
      <c r="O54" s="84">
        <v>8</v>
      </c>
      <c r="P54" s="84">
        <v>10</v>
      </c>
      <c r="Q54" s="84">
        <v>6</v>
      </c>
      <c r="R54" s="84">
        <v>6</v>
      </c>
      <c r="S54" s="84">
        <v>15</v>
      </c>
      <c r="T54" s="84">
        <v>8</v>
      </c>
      <c r="U54" s="84">
        <v>14</v>
      </c>
      <c r="V54" s="84">
        <v>13</v>
      </c>
    </row>
    <row r="55" spans="1:32" ht="16.5" thickBot="1" x14ac:dyDescent="0.3">
      <c r="A55" s="2" t="s">
        <v>237</v>
      </c>
      <c r="B55" s="2" t="s">
        <v>238</v>
      </c>
      <c r="C55" s="1">
        <v>7</v>
      </c>
      <c r="D55" s="1">
        <v>3</v>
      </c>
      <c r="E55" s="1">
        <v>4</v>
      </c>
      <c r="F55" s="84">
        <v>3</v>
      </c>
      <c r="G55" s="84">
        <v>5</v>
      </c>
      <c r="H55" s="84">
        <v>4</v>
      </c>
      <c r="I55" s="84">
        <v>10</v>
      </c>
      <c r="J55" s="84">
        <v>3</v>
      </c>
      <c r="K55" s="84">
        <v>4</v>
      </c>
      <c r="L55" s="84">
        <v>1</v>
      </c>
      <c r="M55" s="1">
        <v>17</v>
      </c>
      <c r="N55" s="1">
        <v>26</v>
      </c>
      <c r="O55" s="84">
        <v>9</v>
      </c>
      <c r="P55" s="84">
        <v>10</v>
      </c>
      <c r="Q55" s="84">
        <v>8</v>
      </c>
      <c r="R55" s="84">
        <v>18</v>
      </c>
      <c r="S55" s="84">
        <v>14</v>
      </c>
      <c r="T55" s="84">
        <v>14</v>
      </c>
      <c r="U55" s="84">
        <v>14</v>
      </c>
      <c r="V55" s="84">
        <v>1</v>
      </c>
    </row>
    <row r="56" spans="1:32" ht="16.5" thickBot="1" x14ac:dyDescent="0.3">
      <c r="A56" s="2" t="s">
        <v>349</v>
      </c>
      <c r="B56" s="2" t="s">
        <v>350</v>
      </c>
      <c r="F56" s="84"/>
      <c r="G56" s="84"/>
      <c r="H56" s="84"/>
      <c r="I56" s="84"/>
      <c r="J56" s="84"/>
      <c r="K56" s="84"/>
      <c r="L56" s="84"/>
      <c r="N56" s="1">
        <v>21</v>
      </c>
      <c r="O56" s="84"/>
      <c r="P56" s="84"/>
      <c r="Q56" s="84"/>
      <c r="R56" s="84">
        <v>6</v>
      </c>
      <c r="S56" s="84"/>
      <c r="T56" s="84">
        <v>14</v>
      </c>
      <c r="U56" s="84">
        <v>13</v>
      </c>
      <c r="V56" s="84"/>
    </row>
    <row r="57" spans="1:32" ht="16.5" thickBot="1" x14ac:dyDescent="0.3">
      <c r="A57" s="2" t="s">
        <v>256</v>
      </c>
      <c r="B57" s="2" t="s">
        <v>257</v>
      </c>
      <c r="C57" s="1">
        <v>18</v>
      </c>
      <c r="D57" s="1">
        <v>1</v>
      </c>
      <c r="E57" s="1">
        <v>14</v>
      </c>
      <c r="F57" s="84">
        <v>1</v>
      </c>
      <c r="G57" s="84">
        <v>6</v>
      </c>
      <c r="H57" s="84">
        <v>7</v>
      </c>
      <c r="I57" s="84">
        <v>12</v>
      </c>
      <c r="J57" s="84">
        <v>7</v>
      </c>
      <c r="K57" s="84">
        <v>6</v>
      </c>
      <c r="L57" s="84">
        <v>7</v>
      </c>
      <c r="M57" s="1">
        <v>30</v>
      </c>
      <c r="N57" s="1">
        <v>32</v>
      </c>
      <c r="O57" s="84">
        <v>12</v>
      </c>
      <c r="P57" s="84">
        <v>10</v>
      </c>
      <c r="Q57" s="84">
        <v>11</v>
      </c>
      <c r="R57" s="84">
        <v>6</v>
      </c>
      <c r="S57" s="84">
        <v>15</v>
      </c>
      <c r="T57" s="84">
        <v>15</v>
      </c>
      <c r="U57" s="84">
        <v>14</v>
      </c>
      <c r="V57" s="84">
        <v>12</v>
      </c>
    </row>
    <row r="58" spans="1:32" ht="16.5" thickBot="1" x14ac:dyDescent="0.3">
      <c r="A58" s="2" t="s">
        <v>297</v>
      </c>
      <c r="B58" s="2" t="s">
        <v>254</v>
      </c>
      <c r="C58" s="1">
        <v>16</v>
      </c>
      <c r="D58" s="1">
        <v>4</v>
      </c>
      <c r="E58" s="1">
        <v>2</v>
      </c>
      <c r="F58" s="84">
        <v>4</v>
      </c>
      <c r="G58" s="84">
        <v>4</v>
      </c>
      <c r="H58" s="84">
        <v>4</v>
      </c>
      <c r="I58" s="84">
        <v>10</v>
      </c>
      <c r="J58" s="84">
        <v>4</v>
      </c>
      <c r="K58" s="84">
        <v>5</v>
      </c>
      <c r="L58" s="84">
        <v>3</v>
      </c>
      <c r="M58" s="1">
        <v>27</v>
      </c>
      <c r="N58" s="1">
        <v>30</v>
      </c>
      <c r="O58" s="84">
        <v>13</v>
      </c>
      <c r="P58" s="84">
        <v>12</v>
      </c>
      <c r="Q58" s="84">
        <v>11</v>
      </c>
      <c r="R58" s="84">
        <v>14</v>
      </c>
      <c r="S58" s="84">
        <v>15</v>
      </c>
      <c r="T58" s="84">
        <v>15</v>
      </c>
      <c r="U58" s="84">
        <v>10</v>
      </c>
      <c r="V58" s="84">
        <v>12</v>
      </c>
    </row>
    <row r="59" spans="1:32" ht="16.5" thickBot="1" x14ac:dyDescent="0.3">
      <c r="A59" s="2" t="s">
        <v>212</v>
      </c>
      <c r="B59" s="2" t="s">
        <v>283</v>
      </c>
      <c r="C59" s="1">
        <v>8</v>
      </c>
      <c r="D59" s="1">
        <v>1</v>
      </c>
      <c r="E59" s="1">
        <v>10</v>
      </c>
      <c r="F59" s="84">
        <v>1</v>
      </c>
      <c r="G59" s="84">
        <v>5</v>
      </c>
      <c r="H59" s="84">
        <v>5</v>
      </c>
      <c r="I59" s="84">
        <v>10</v>
      </c>
      <c r="J59" s="84">
        <v>4</v>
      </c>
      <c r="K59" s="84">
        <v>5</v>
      </c>
      <c r="L59" s="84">
        <v>5</v>
      </c>
      <c r="M59" s="1">
        <v>26</v>
      </c>
      <c r="N59" s="1">
        <v>32</v>
      </c>
      <c r="O59" s="84">
        <v>10</v>
      </c>
      <c r="P59" s="84">
        <v>10</v>
      </c>
      <c r="Q59" s="84">
        <v>10</v>
      </c>
      <c r="R59" s="84">
        <v>16</v>
      </c>
      <c r="S59" s="84">
        <v>11</v>
      </c>
      <c r="T59" s="84">
        <v>13</v>
      </c>
      <c r="U59" s="84">
        <v>14</v>
      </c>
      <c r="V59" s="84">
        <v>14</v>
      </c>
    </row>
    <row r="60" spans="1:32" ht="16.5" thickBot="1" x14ac:dyDescent="0.3">
      <c r="A60" s="2" t="s">
        <v>286</v>
      </c>
      <c r="B60" s="2" t="s">
        <v>287</v>
      </c>
      <c r="C60" s="1">
        <v>11</v>
      </c>
      <c r="D60" s="1">
        <v>6</v>
      </c>
      <c r="E60" s="1">
        <v>8</v>
      </c>
      <c r="F60" s="84">
        <v>6</v>
      </c>
      <c r="G60" s="84">
        <v>7</v>
      </c>
      <c r="H60" s="84">
        <v>7</v>
      </c>
      <c r="I60" s="84">
        <v>12</v>
      </c>
      <c r="J60" s="84">
        <v>5</v>
      </c>
      <c r="K60" s="84">
        <v>5</v>
      </c>
      <c r="L60" s="84">
        <v>5</v>
      </c>
      <c r="M60" s="1">
        <v>24</v>
      </c>
      <c r="N60" s="1">
        <v>32</v>
      </c>
      <c r="O60" s="84">
        <v>15</v>
      </c>
      <c r="P60" s="84">
        <v>10</v>
      </c>
      <c r="Q60" s="84">
        <v>8</v>
      </c>
      <c r="R60" s="84">
        <v>12</v>
      </c>
      <c r="S60" s="84">
        <v>17</v>
      </c>
      <c r="T60" s="84">
        <v>14</v>
      </c>
      <c r="U60" s="84">
        <v>11</v>
      </c>
      <c r="V60" s="84">
        <v>8</v>
      </c>
    </row>
    <row r="61" spans="1:32" ht="16.5" thickBot="1" x14ac:dyDescent="0.3">
      <c r="A61" s="2" t="s">
        <v>302</v>
      </c>
      <c r="B61" s="2" t="s">
        <v>303</v>
      </c>
      <c r="C61" s="1">
        <v>14</v>
      </c>
      <c r="D61" s="1">
        <v>1</v>
      </c>
      <c r="E61" s="1">
        <v>2</v>
      </c>
      <c r="F61" s="84">
        <v>1</v>
      </c>
      <c r="G61" s="84">
        <v>5</v>
      </c>
      <c r="H61" s="84">
        <v>6</v>
      </c>
      <c r="I61" s="84">
        <v>10</v>
      </c>
      <c r="J61" s="84">
        <v>4</v>
      </c>
      <c r="K61" s="84">
        <v>4</v>
      </c>
      <c r="L61" s="84">
        <v>2</v>
      </c>
      <c r="M61" s="1">
        <v>27</v>
      </c>
      <c r="N61" s="1">
        <v>26</v>
      </c>
      <c r="O61" s="84">
        <v>13</v>
      </c>
      <c r="P61" s="84">
        <v>12</v>
      </c>
      <c r="Q61" s="84">
        <v>11</v>
      </c>
      <c r="R61" s="84">
        <v>18</v>
      </c>
      <c r="S61" s="84">
        <v>13</v>
      </c>
      <c r="T61" s="84">
        <v>15</v>
      </c>
      <c r="U61" s="84">
        <v>11</v>
      </c>
      <c r="V61" s="84">
        <v>7</v>
      </c>
    </row>
    <row r="62" spans="1:32" ht="16.5" thickBot="1" x14ac:dyDescent="0.3">
      <c r="A62" s="2" t="s">
        <v>262</v>
      </c>
      <c r="B62" s="2" t="s">
        <v>52</v>
      </c>
      <c r="C62" s="1">
        <v>12</v>
      </c>
      <c r="D62" s="1">
        <v>2</v>
      </c>
      <c r="E62" s="1">
        <v>14</v>
      </c>
      <c r="F62" s="84">
        <v>2</v>
      </c>
      <c r="G62" s="84">
        <v>4</v>
      </c>
      <c r="H62" s="84">
        <v>3</v>
      </c>
      <c r="I62" s="84">
        <v>8</v>
      </c>
      <c r="J62" s="84">
        <v>4</v>
      </c>
      <c r="K62" s="84">
        <v>5</v>
      </c>
      <c r="L62" s="84">
        <v>4</v>
      </c>
      <c r="M62" s="1">
        <v>23</v>
      </c>
      <c r="N62" s="1">
        <v>26</v>
      </c>
      <c r="O62" s="84">
        <v>11</v>
      </c>
      <c r="P62" s="84">
        <v>12</v>
      </c>
      <c r="Q62" s="84">
        <v>11</v>
      </c>
      <c r="R62" s="84">
        <v>20</v>
      </c>
      <c r="S62" s="84">
        <v>13</v>
      </c>
      <c r="T62" s="84">
        <v>16</v>
      </c>
      <c r="U62" s="84">
        <v>10</v>
      </c>
      <c r="V62" s="84">
        <v>10</v>
      </c>
    </row>
    <row r="63" spans="1:32" ht="16.5" thickBot="1" x14ac:dyDescent="0.3">
      <c r="A63" s="2" t="s">
        <v>321</v>
      </c>
      <c r="B63" s="2" t="s">
        <v>322</v>
      </c>
      <c r="C63" s="1">
        <v>5</v>
      </c>
      <c r="D63" s="1">
        <v>1</v>
      </c>
      <c r="E63" s="1">
        <v>2</v>
      </c>
      <c r="F63" s="84">
        <v>1</v>
      </c>
      <c r="G63" s="84">
        <v>4</v>
      </c>
      <c r="H63" s="84">
        <v>4</v>
      </c>
      <c r="I63" s="84">
        <v>10</v>
      </c>
      <c r="J63" s="84">
        <v>4</v>
      </c>
      <c r="K63" s="84">
        <v>4</v>
      </c>
      <c r="L63" s="84">
        <v>4</v>
      </c>
      <c r="M63" s="1">
        <v>23</v>
      </c>
      <c r="N63" s="1">
        <v>31</v>
      </c>
      <c r="O63" s="84">
        <v>15</v>
      </c>
      <c r="P63" s="84">
        <v>10</v>
      </c>
      <c r="Q63" s="84">
        <v>10</v>
      </c>
      <c r="R63" s="84">
        <v>6</v>
      </c>
      <c r="S63" s="84">
        <v>15</v>
      </c>
      <c r="T63" s="84">
        <v>13</v>
      </c>
      <c r="U63" s="84">
        <v>13</v>
      </c>
      <c r="V63" s="84">
        <v>10</v>
      </c>
    </row>
    <row r="64" spans="1:32" ht="16.5" thickBot="1" x14ac:dyDescent="0.3">
      <c r="A64" s="2" t="s">
        <v>321</v>
      </c>
      <c r="B64" s="2" t="s">
        <v>351</v>
      </c>
      <c r="C64" s="1">
        <v>13</v>
      </c>
      <c r="D64" s="1">
        <v>3</v>
      </c>
      <c r="E64" s="1">
        <v>2</v>
      </c>
      <c r="F64" s="84">
        <v>3</v>
      </c>
      <c r="G64" s="84">
        <v>3</v>
      </c>
      <c r="H64" s="84">
        <v>3</v>
      </c>
      <c r="I64" s="84">
        <v>8</v>
      </c>
      <c r="J64" s="84">
        <v>5</v>
      </c>
      <c r="K64" s="84">
        <v>4</v>
      </c>
      <c r="L64" s="84">
        <v>4</v>
      </c>
      <c r="M64" s="1">
        <v>20</v>
      </c>
      <c r="N64" s="1">
        <v>31</v>
      </c>
      <c r="O64" s="84">
        <v>15</v>
      </c>
      <c r="P64" s="84">
        <v>10</v>
      </c>
      <c r="Q64" s="84">
        <v>10</v>
      </c>
      <c r="R64" s="84">
        <v>16</v>
      </c>
      <c r="S64" s="84">
        <v>14</v>
      </c>
      <c r="T64" s="84">
        <v>15</v>
      </c>
      <c r="U64" s="84">
        <v>12</v>
      </c>
      <c r="V64" s="84">
        <v>4</v>
      </c>
    </row>
    <row r="65" spans="1:22" ht="16.5" thickBot="1" x14ac:dyDescent="0.3">
      <c r="A65" s="2" t="s">
        <v>352</v>
      </c>
      <c r="B65" s="2" t="s">
        <v>353</v>
      </c>
      <c r="F65" s="84"/>
      <c r="G65" s="84"/>
      <c r="H65" s="84"/>
      <c r="I65" s="84"/>
      <c r="J65" s="84"/>
      <c r="K65" s="84"/>
      <c r="L65" s="84">
        <v>6</v>
      </c>
      <c r="O65" s="84"/>
      <c r="P65" s="84"/>
      <c r="Q65" s="84"/>
      <c r="R65" s="84">
        <v>6</v>
      </c>
      <c r="S65" s="84">
        <v>15</v>
      </c>
      <c r="T65" s="84">
        <v>14</v>
      </c>
      <c r="U65" s="84"/>
      <c r="V65" s="84"/>
    </row>
    <row r="66" spans="1:22" ht="16.5" thickBot="1" x14ac:dyDescent="0.3">
      <c r="A66" s="2" t="s">
        <v>354</v>
      </c>
      <c r="B66" s="2" t="s">
        <v>355</v>
      </c>
      <c r="C66" s="1">
        <v>37</v>
      </c>
      <c r="D66" s="1">
        <v>4</v>
      </c>
      <c r="E66" s="1">
        <v>20</v>
      </c>
      <c r="F66" s="84">
        <v>4</v>
      </c>
      <c r="G66" s="84">
        <v>8</v>
      </c>
      <c r="H66" s="84">
        <v>8</v>
      </c>
      <c r="I66" s="84">
        <v>16</v>
      </c>
      <c r="J66" s="84">
        <v>5</v>
      </c>
      <c r="K66" s="84">
        <v>6</v>
      </c>
      <c r="L66" s="84">
        <v>6</v>
      </c>
      <c r="M66" s="1">
        <v>26</v>
      </c>
      <c r="N66" s="1">
        <v>35</v>
      </c>
      <c r="O66" s="84">
        <v>10</v>
      </c>
      <c r="P66" s="84">
        <v>10</v>
      </c>
      <c r="Q66" s="84">
        <v>10</v>
      </c>
      <c r="R66" s="84">
        <v>6</v>
      </c>
      <c r="S66" s="84">
        <v>15</v>
      </c>
      <c r="T66" s="84">
        <v>14</v>
      </c>
      <c r="U66" s="84">
        <v>14</v>
      </c>
      <c r="V66" s="84">
        <v>13</v>
      </c>
    </row>
    <row r="67" spans="1:22" ht="16.5" thickBot="1" x14ac:dyDescent="0.3">
      <c r="A67" s="2" t="s">
        <v>333</v>
      </c>
      <c r="B67" s="2" t="s">
        <v>334</v>
      </c>
      <c r="C67" s="1">
        <v>20</v>
      </c>
      <c r="D67" s="1">
        <v>1</v>
      </c>
      <c r="E67" s="1">
        <v>12</v>
      </c>
      <c r="F67" s="84">
        <v>1</v>
      </c>
      <c r="G67" s="84">
        <v>8</v>
      </c>
      <c r="H67" s="84">
        <v>7</v>
      </c>
      <c r="I67" s="84">
        <v>16</v>
      </c>
      <c r="J67" s="84">
        <v>5</v>
      </c>
      <c r="K67" s="84">
        <v>6</v>
      </c>
      <c r="L67" s="84">
        <v>5</v>
      </c>
      <c r="M67" s="1">
        <v>25</v>
      </c>
      <c r="N67" s="1">
        <v>35</v>
      </c>
      <c r="O67" s="84">
        <v>14</v>
      </c>
      <c r="P67" s="84">
        <v>12</v>
      </c>
      <c r="Q67" s="84">
        <v>10</v>
      </c>
      <c r="R67" s="84">
        <v>20</v>
      </c>
      <c r="S67" s="84">
        <v>16</v>
      </c>
      <c r="T67" s="84">
        <v>15</v>
      </c>
      <c r="U67" s="84">
        <v>12</v>
      </c>
      <c r="V67" s="84">
        <v>14</v>
      </c>
    </row>
    <row r="68" spans="1:22" ht="16.5" thickBot="1" x14ac:dyDescent="0.3">
      <c r="A68" s="2" t="s">
        <v>242</v>
      </c>
      <c r="B68" s="2" t="s">
        <v>243</v>
      </c>
      <c r="C68" s="1">
        <v>15</v>
      </c>
      <c r="D68" s="1">
        <v>3</v>
      </c>
      <c r="E68" s="1">
        <v>4</v>
      </c>
      <c r="F68" s="84">
        <v>3</v>
      </c>
      <c r="G68" s="84">
        <v>4</v>
      </c>
      <c r="H68" s="84">
        <v>3</v>
      </c>
      <c r="I68" s="84">
        <v>8</v>
      </c>
      <c r="J68" s="84">
        <v>5</v>
      </c>
      <c r="K68" s="84">
        <v>5</v>
      </c>
      <c r="L68" s="84"/>
      <c r="M68" s="1">
        <v>26</v>
      </c>
      <c r="N68" s="1">
        <v>29</v>
      </c>
      <c r="O68" s="84">
        <v>7</v>
      </c>
      <c r="P68" s="84">
        <v>8</v>
      </c>
      <c r="Q68" s="84">
        <v>10</v>
      </c>
      <c r="R68" s="84">
        <v>16</v>
      </c>
      <c r="S68" s="84">
        <v>15</v>
      </c>
      <c r="T68" s="84">
        <v>13</v>
      </c>
      <c r="U68" s="84">
        <v>12</v>
      </c>
      <c r="V68" s="84">
        <v>13</v>
      </c>
    </row>
    <row r="69" spans="1:22" ht="16.5" thickBot="1" x14ac:dyDescent="0.3">
      <c r="A69" s="2" t="s">
        <v>356</v>
      </c>
      <c r="B69" s="2" t="s">
        <v>239</v>
      </c>
      <c r="F69" s="84"/>
      <c r="G69" s="84"/>
      <c r="H69" s="84"/>
      <c r="I69" s="84"/>
      <c r="J69" s="84"/>
      <c r="K69" s="84"/>
      <c r="L69" s="84"/>
      <c r="O69" s="84"/>
      <c r="P69" s="84"/>
      <c r="Q69" s="84"/>
      <c r="R69" s="84">
        <v>6</v>
      </c>
      <c r="S69" s="84"/>
      <c r="T69" s="84"/>
      <c r="U69" s="84"/>
      <c r="V69" s="84"/>
    </row>
    <row r="70" spans="1:22" ht="16.5" thickBot="1" x14ac:dyDescent="0.3">
      <c r="A70" s="2" t="s">
        <v>235</v>
      </c>
      <c r="B70" s="2" t="s">
        <v>236</v>
      </c>
      <c r="C70" s="1">
        <v>19</v>
      </c>
      <c r="D70" s="1">
        <v>5</v>
      </c>
      <c r="E70" s="1">
        <v>8</v>
      </c>
      <c r="F70" s="84">
        <v>5</v>
      </c>
      <c r="G70" s="84">
        <v>3</v>
      </c>
      <c r="H70" s="84">
        <v>3</v>
      </c>
      <c r="I70" s="84">
        <v>6</v>
      </c>
      <c r="J70" s="84">
        <v>5</v>
      </c>
      <c r="K70" s="84">
        <v>4</v>
      </c>
      <c r="L70" s="84">
        <v>6</v>
      </c>
      <c r="M70" s="1">
        <v>29</v>
      </c>
      <c r="N70" s="1">
        <v>31</v>
      </c>
      <c r="O70" s="84">
        <v>8</v>
      </c>
      <c r="P70" s="84">
        <v>10</v>
      </c>
      <c r="Q70" s="84">
        <v>11</v>
      </c>
      <c r="R70" s="84">
        <v>20</v>
      </c>
      <c r="S70" s="84">
        <v>15</v>
      </c>
      <c r="T70" s="84">
        <v>13</v>
      </c>
      <c r="U70" s="84">
        <v>12</v>
      </c>
      <c r="V70" s="84">
        <v>14</v>
      </c>
    </row>
    <row r="71" spans="1:22" ht="16.5" thickBot="1" x14ac:dyDescent="0.3">
      <c r="A71" s="2" t="s">
        <v>257</v>
      </c>
      <c r="B71" s="2" t="s">
        <v>295</v>
      </c>
      <c r="C71" s="1">
        <v>15</v>
      </c>
      <c r="D71" s="1">
        <v>6</v>
      </c>
      <c r="E71" s="1">
        <v>12</v>
      </c>
      <c r="F71" s="84">
        <v>6</v>
      </c>
      <c r="G71" s="84">
        <v>6</v>
      </c>
      <c r="H71" s="84">
        <v>6</v>
      </c>
      <c r="I71" s="84">
        <v>12</v>
      </c>
      <c r="J71" s="84">
        <v>5</v>
      </c>
      <c r="K71" s="84">
        <v>4</v>
      </c>
      <c r="L71" s="84">
        <v>9</v>
      </c>
      <c r="M71" s="1">
        <v>30</v>
      </c>
      <c r="N71" s="1">
        <v>39</v>
      </c>
      <c r="O71" s="84">
        <v>13</v>
      </c>
      <c r="P71" s="84">
        <v>10</v>
      </c>
      <c r="Q71" s="84">
        <v>10</v>
      </c>
      <c r="R71" s="84">
        <v>6</v>
      </c>
      <c r="S71" s="84">
        <v>17</v>
      </c>
      <c r="T71" s="84">
        <v>14</v>
      </c>
      <c r="U71" s="84">
        <v>14</v>
      </c>
      <c r="V71" s="84">
        <v>14</v>
      </c>
    </row>
    <row r="72" spans="1:22" ht="16.5" thickBot="1" x14ac:dyDescent="0.3">
      <c r="A72" s="2" t="s">
        <v>232</v>
      </c>
      <c r="B72" s="2" t="s">
        <v>233</v>
      </c>
      <c r="C72" s="1">
        <v>16</v>
      </c>
      <c r="D72" s="1">
        <v>5</v>
      </c>
      <c r="E72" s="1">
        <v>6</v>
      </c>
      <c r="F72" s="84">
        <v>5</v>
      </c>
      <c r="G72" s="84">
        <v>5</v>
      </c>
      <c r="H72" s="84">
        <v>5</v>
      </c>
      <c r="I72" s="84">
        <v>10</v>
      </c>
      <c r="J72" s="84">
        <v>5</v>
      </c>
      <c r="K72" s="84">
        <v>4</v>
      </c>
      <c r="L72" s="84">
        <v>4</v>
      </c>
      <c r="M72" s="1">
        <v>29</v>
      </c>
      <c r="N72" s="1">
        <v>28</v>
      </c>
      <c r="O72" s="84">
        <v>8</v>
      </c>
      <c r="P72" s="84">
        <v>10</v>
      </c>
      <c r="Q72" s="84">
        <v>10</v>
      </c>
      <c r="R72" s="84">
        <v>6</v>
      </c>
      <c r="S72" s="84">
        <v>14</v>
      </c>
      <c r="T72" s="84">
        <v>14</v>
      </c>
      <c r="U72" s="84">
        <v>14</v>
      </c>
      <c r="V72" s="84">
        <v>15</v>
      </c>
    </row>
    <row r="73" spans="1:22" ht="16.5" thickBot="1" x14ac:dyDescent="0.3">
      <c r="A73" s="2" t="s">
        <v>288</v>
      </c>
      <c r="B73" s="2" t="s">
        <v>10</v>
      </c>
      <c r="C73" s="1">
        <v>7</v>
      </c>
      <c r="D73" s="1">
        <v>4</v>
      </c>
      <c r="E73" s="1">
        <v>2</v>
      </c>
      <c r="F73" s="84">
        <v>4</v>
      </c>
      <c r="G73" s="84">
        <v>8</v>
      </c>
      <c r="H73" s="84">
        <v>7</v>
      </c>
      <c r="I73" s="84">
        <v>16</v>
      </c>
      <c r="J73" s="84">
        <v>4</v>
      </c>
      <c r="K73" s="84">
        <v>3</v>
      </c>
      <c r="L73" s="84">
        <v>1</v>
      </c>
      <c r="M73" s="1">
        <v>17</v>
      </c>
      <c r="N73" s="1">
        <v>23</v>
      </c>
      <c r="O73" s="84">
        <v>7</v>
      </c>
      <c r="P73" s="84">
        <v>6</v>
      </c>
      <c r="Q73" s="84">
        <v>10</v>
      </c>
      <c r="R73" s="84">
        <v>6</v>
      </c>
      <c r="S73" s="84">
        <v>14</v>
      </c>
      <c r="T73" s="84">
        <v>8</v>
      </c>
      <c r="U73" s="84">
        <v>15</v>
      </c>
      <c r="V73" s="84">
        <v>14</v>
      </c>
    </row>
    <row r="74" spans="1:22" ht="16.5" thickBot="1" x14ac:dyDescent="0.3">
      <c r="A74" s="2" t="s">
        <v>313</v>
      </c>
      <c r="B74" s="2" t="s">
        <v>314</v>
      </c>
      <c r="C74" s="1">
        <v>20</v>
      </c>
      <c r="D74" s="1">
        <v>7</v>
      </c>
      <c r="E74" s="1">
        <v>20</v>
      </c>
      <c r="F74" s="84">
        <v>7</v>
      </c>
      <c r="G74" s="84">
        <v>5</v>
      </c>
      <c r="H74" s="84">
        <v>5</v>
      </c>
      <c r="I74" s="84">
        <v>10</v>
      </c>
      <c r="J74" s="84">
        <v>4</v>
      </c>
      <c r="K74" s="84">
        <v>4</v>
      </c>
      <c r="L74" s="84">
        <v>5</v>
      </c>
      <c r="M74" s="1">
        <v>23</v>
      </c>
      <c r="N74" s="1">
        <v>27</v>
      </c>
      <c r="O74" s="84">
        <v>13</v>
      </c>
      <c r="P74" s="84">
        <v>14</v>
      </c>
      <c r="Q74" s="84">
        <v>12</v>
      </c>
      <c r="R74" s="84">
        <v>14</v>
      </c>
      <c r="S74" s="84">
        <v>16</v>
      </c>
      <c r="T74" s="84">
        <v>15</v>
      </c>
      <c r="U74" s="84">
        <v>13</v>
      </c>
      <c r="V74" s="84">
        <v>6</v>
      </c>
    </row>
    <row r="75" spans="1:22" ht="16.5" thickBot="1" x14ac:dyDescent="0.3">
      <c r="A75" s="2" t="s">
        <v>227</v>
      </c>
      <c r="B75" s="2" t="s">
        <v>228</v>
      </c>
      <c r="F75" s="84"/>
      <c r="G75" s="84"/>
      <c r="H75" s="84"/>
      <c r="I75" s="84"/>
      <c r="J75" s="84"/>
      <c r="K75" s="84"/>
      <c r="L75" s="84"/>
      <c r="O75" s="84"/>
      <c r="P75" s="84"/>
      <c r="Q75" s="84"/>
      <c r="R75" s="84"/>
      <c r="S75" s="84"/>
      <c r="T75" s="84"/>
      <c r="U75" s="84"/>
      <c r="V75" s="84"/>
    </row>
    <row r="76" spans="1:22" ht="16.5" thickBot="1" x14ac:dyDescent="0.3">
      <c r="A76" s="2" t="s">
        <v>229</v>
      </c>
      <c r="B76" s="2" t="s">
        <v>230</v>
      </c>
      <c r="F76" s="84"/>
      <c r="G76" s="84"/>
      <c r="H76" s="84"/>
      <c r="I76" s="84"/>
      <c r="J76" s="84"/>
      <c r="K76" s="84"/>
      <c r="L76" s="84"/>
      <c r="O76" s="84"/>
      <c r="P76" s="84"/>
      <c r="Q76" s="84"/>
      <c r="R76" s="84"/>
      <c r="S76" s="84"/>
      <c r="T76" s="84"/>
      <c r="U76" s="84"/>
      <c r="V76" s="84"/>
    </row>
  </sheetData>
  <mergeCells count="1">
    <mergeCell ref="B1:W1"/>
  </mergeCells>
  <conditionalFormatting sqref="C4:C76">
    <cfRule type="cellIs" dxfId="66" priority="9" operator="lessThan">
      <formula>20</formula>
    </cfRule>
  </conditionalFormatting>
  <conditionalFormatting sqref="D4:D76">
    <cfRule type="cellIs" dxfId="65" priority="8" operator="lessThan">
      <formula>5</formula>
    </cfRule>
  </conditionalFormatting>
  <conditionalFormatting sqref="E4:E76">
    <cfRule type="cellIs" dxfId="64" priority="7" operator="lessThan">
      <formula>10</formula>
    </cfRule>
  </conditionalFormatting>
  <conditionalFormatting sqref="F4:F76">
    <cfRule type="cellIs" dxfId="63" priority="6" operator="lessThan">
      <formula>5</formula>
    </cfRule>
  </conditionalFormatting>
  <conditionalFormatting sqref="G4:L76">
    <cfRule type="cellIs" dxfId="62" priority="5" operator="lessThan">
      <formula>5</formula>
    </cfRule>
  </conditionalFormatting>
  <conditionalFormatting sqref="M4:M76">
    <cfRule type="cellIs" dxfId="61" priority="4" operator="lessThan">
      <formula>15</formula>
    </cfRule>
  </conditionalFormatting>
  <conditionalFormatting sqref="N4:N76">
    <cfRule type="cellIs" dxfId="60" priority="3" operator="lessThan">
      <formula>35</formula>
    </cfRule>
  </conditionalFormatting>
  <conditionalFormatting sqref="O4:V76">
    <cfRule type="cellIs" dxfId="59" priority="2" operator="lessThan">
      <formula>10</formula>
    </cfRule>
  </conditionalFormatting>
  <conditionalFormatting sqref="W4:W76">
    <cfRule type="cellIs" dxfId="58" priority="1" operator="lessThan">
      <formula>50</formula>
    </cfRule>
  </conditionalFormatting>
  <pageMargins left="0.17" right="0.12" top="0.74803149606299213" bottom="0.74803149606299213" header="0.31496062992125984" footer="0.31496062992125984"/>
  <pageSetup paperSize="9" fitToWidth="2" fitToHeight="2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2A74-8F44-4FE2-8E22-8D6443B47A2F}">
  <sheetPr codeName="Feuil16">
    <tabColor rgb="FF7030A0"/>
    <pageSetUpPr fitToPage="1"/>
  </sheetPr>
  <dimension ref="A1:AG76"/>
  <sheetViews>
    <sheetView showZeros="0" topLeftCell="A27" zoomScaleNormal="100" workbookViewId="0">
      <selection activeCell="A45" sqref="A45:XFD45"/>
    </sheetView>
  </sheetViews>
  <sheetFormatPr baseColWidth="10" defaultColWidth="11.42578125" defaultRowHeight="15.75" x14ac:dyDescent="0.25"/>
  <cols>
    <col min="1" max="1" width="21.28515625" style="1" customWidth="1"/>
    <col min="2" max="2" width="20.5703125" style="1" customWidth="1"/>
    <col min="3" max="22" width="4.5703125" style="1" customWidth="1"/>
    <col min="23" max="23" width="7.42578125" style="1" customWidth="1"/>
    <col min="24" max="25" width="5.85546875" style="1" customWidth="1"/>
    <col min="26" max="27" width="5.28515625" style="1" customWidth="1"/>
    <col min="28" max="28" width="5.5703125" style="1" customWidth="1"/>
    <col min="29" max="29" width="6" style="1" customWidth="1"/>
    <col min="30" max="32" width="5.85546875" style="1" customWidth="1"/>
    <col min="33" max="33" width="6.28515625" style="1" customWidth="1"/>
    <col min="34" max="16384" width="11.42578125" style="1"/>
  </cols>
  <sheetData>
    <row r="1" spans="1:33" ht="46.5" customHeight="1" x14ac:dyDescent="0.5">
      <c r="A1" s="11"/>
      <c r="B1" s="203" t="s">
        <v>97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4.5" customHeight="1" x14ac:dyDescent="0.35">
      <c r="A2" s="11"/>
      <c r="B2" s="11"/>
      <c r="C2" s="6" t="s">
        <v>18</v>
      </c>
      <c r="D2" s="6" t="s">
        <v>19</v>
      </c>
      <c r="E2" s="6" t="s">
        <v>20</v>
      </c>
      <c r="F2" s="6" t="s">
        <v>44</v>
      </c>
      <c r="G2" s="6" t="s">
        <v>23</v>
      </c>
      <c r="H2" s="6" t="s">
        <v>45</v>
      </c>
      <c r="I2" s="6" t="s">
        <v>25</v>
      </c>
      <c r="J2" s="6" t="s">
        <v>27</v>
      </c>
      <c r="K2" s="6" t="s">
        <v>28</v>
      </c>
      <c r="L2" s="7" t="s">
        <v>46</v>
      </c>
      <c r="M2" s="7" t="s">
        <v>31</v>
      </c>
      <c r="N2" s="7" t="s">
        <v>13</v>
      </c>
      <c r="O2" s="7" t="s">
        <v>47</v>
      </c>
      <c r="P2" s="7" t="s">
        <v>48</v>
      </c>
      <c r="Q2" s="7" t="s">
        <v>49</v>
      </c>
      <c r="R2" s="7" t="s">
        <v>32</v>
      </c>
      <c r="S2" s="7" t="s">
        <v>33</v>
      </c>
      <c r="T2" s="7" t="s">
        <v>35</v>
      </c>
      <c r="U2" s="7" t="s">
        <v>36</v>
      </c>
      <c r="V2" s="7" t="s">
        <v>38</v>
      </c>
      <c r="W2" s="5" t="s">
        <v>8</v>
      </c>
      <c r="X2" s="3"/>
      <c r="Y2" s="9"/>
      <c r="Z2" s="3"/>
      <c r="AA2" s="3"/>
      <c r="AB2" s="3"/>
      <c r="AC2" s="3"/>
      <c r="AD2" s="3"/>
      <c r="AE2" s="3"/>
      <c r="AF2" s="3"/>
      <c r="AG2" s="3"/>
    </row>
    <row r="3" spans="1:33" s="3" customFormat="1" ht="17.25" thickBot="1" x14ac:dyDescent="0.35">
      <c r="A3" s="10" t="s">
        <v>7</v>
      </c>
      <c r="B3" s="8" t="s">
        <v>6</v>
      </c>
      <c r="C3" s="53" t="s">
        <v>85</v>
      </c>
      <c r="D3" s="54" t="s">
        <v>60</v>
      </c>
      <c r="E3" s="54" t="s">
        <v>58</v>
      </c>
      <c r="F3" s="54" t="s">
        <v>70</v>
      </c>
      <c r="G3" s="54" t="s">
        <v>71</v>
      </c>
      <c r="H3" s="54" t="s">
        <v>72</v>
      </c>
      <c r="I3" s="54" t="s">
        <v>73</v>
      </c>
      <c r="J3" s="54" t="s">
        <v>74</v>
      </c>
      <c r="K3" s="54" t="s">
        <v>75</v>
      </c>
      <c r="L3" s="54" t="s">
        <v>76</v>
      </c>
      <c r="M3" s="54" t="s">
        <v>86</v>
      </c>
      <c r="N3" s="54" t="s">
        <v>87</v>
      </c>
      <c r="O3" s="54" t="s">
        <v>88</v>
      </c>
      <c r="P3" s="54" t="s">
        <v>89</v>
      </c>
      <c r="Q3" s="54" t="s">
        <v>90</v>
      </c>
      <c r="R3" s="54" t="s">
        <v>91</v>
      </c>
      <c r="S3" s="54" t="s">
        <v>92</v>
      </c>
      <c r="T3" s="54" t="s">
        <v>93</v>
      </c>
      <c r="U3" s="54" t="s">
        <v>94</v>
      </c>
      <c r="V3" s="54" t="s">
        <v>95</v>
      </c>
      <c r="W3" s="54" t="s">
        <v>78</v>
      </c>
    </row>
    <row r="4" spans="1:33" s="3" customFormat="1" ht="17.25" thickBot="1" x14ac:dyDescent="0.35">
      <c r="A4" s="2" t="s">
        <v>248</v>
      </c>
      <c r="B4" s="2" t="s">
        <v>249</v>
      </c>
      <c r="C4" s="53">
        <v>20</v>
      </c>
      <c r="D4" s="54">
        <v>6</v>
      </c>
      <c r="E4" s="54">
        <v>25</v>
      </c>
      <c r="F4" s="84">
        <v>14</v>
      </c>
      <c r="G4" s="84">
        <v>9</v>
      </c>
      <c r="H4" s="84">
        <v>9</v>
      </c>
      <c r="I4" s="84">
        <v>18</v>
      </c>
      <c r="J4" s="84">
        <v>3</v>
      </c>
      <c r="K4" s="84">
        <v>13</v>
      </c>
      <c r="L4" s="84">
        <v>14</v>
      </c>
      <c r="M4" s="54">
        <v>54</v>
      </c>
      <c r="N4" s="85">
        <v>48</v>
      </c>
      <c r="O4" s="84">
        <v>20</v>
      </c>
      <c r="P4" s="84">
        <v>1</v>
      </c>
      <c r="Q4" s="84">
        <v>16</v>
      </c>
      <c r="R4" s="84">
        <v>20</v>
      </c>
      <c r="S4" s="84">
        <v>28</v>
      </c>
      <c r="T4" s="84">
        <v>29</v>
      </c>
      <c r="U4" s="84">
        <v>37</v>
      </c>
      <c r="V4" s="84">
        <v>1</v>
      </c>
      <c r="W4" s="54"/>
    </row>
    <row r="5" spans="1:33" s="3" customFormat="1" ht="17.25" thickBot="1" x14ac:dyDescent="0.35">
      <c r="A5" s="2" t="s">
        <v>234</v>
      </c>
      <c r="B5" s="2" t="s">
        <v>127</v>
      </c>
      <c r="C5" s="11">
        <v>5</v>
      </c>
      <c r="D5" s="11">
        <v>3</v>
      </c>
      <c r="E5" s="11">
        <v>5</v>
      </c>
      <c r="F5" s="84">
        <v>2</v>
      </c>
      <c r="G5" s="84">
        <v>5</v>
      </c>
      <c r="H5" s="84">
        <v>4</v>
      </c>
      <c r="I5" s="84">
        <v>10</v>
      </c>
      <c r="J5" s="84">
        <v>3</v>
      </c>
      <c r="K5" s="84">
        <v>3</v>
      </c>
      <c r="L5" s="84">
        <v>2</v>
      </c>
      <c r="M5" s="3">
        <v>30</v>
      </c>
      <c r="N5" s="86">
        <v>7</v>
      </c>
      <c r="O5" s="84">
        <v>10</v>
      </c>
      <c r="P5" s="84">
        <v>7</v>
      </c>
      <c r="Q5" s="84">
        <v>8</v>
      </c>
      <c r="R5" s="84">
        <v>10</v>
      </c>
      <c r="S5" s="84">
        <v>20</v>
      </c>
      <c r="T5" s="84">
        <v>20</v>
      </c>
      <c r="U5" s="84">
        <v>13</v>
      </c>
      <c r="V5" s="84">
        <v>7</v>
      </c>
    </row>
    <row r="6" spans="1:33" s="3" customFormat="1" ht="17.25" thickBot="1" x14ac:dyDescent="0.35">
      <c r="A6" s="2" t="s">
        <v>277</v>
      </c>
      <c r="B6" s="2" t="s">
        <v>278</v>
      </c>
      <c r="C6" s="1">
        <v>30</v>
      </c>
      <c r="D6" s="1">
        <v>6</v>
      </c>
      <c r="E6" s="1">
        <v>25</v>
      </c>
      <c r="F6" s="84">
        <v>16</v>
      </c>
      <c r="G6" s="84">
        <v>4</v>
      </c>
      <c r="H6" s="84">
        <v>5</v>
      </c>
      <c r="I6" s="84">
        <v>10</v>
      </c>
      <c r="J6" s="84">
        <v>7</v>
      </c>
      <c r="K6" s="84">
        <v>17</v>
      </c>
      <c r="L6" s="84">
        <v>7</v>
      </c>
      <c r="M6" s="1">
        <v>48</v>
      </c>
      <c r="N6" s="87">
        <v>56</v>
      </c>
      <c r="O6" s="84">
        <v>22</v>
      </c>
      <c r="P6" s="84">
        <v>20</v>
      </c>
      <c r="Q6" s="84">
        <v>30</v>
      </c>
      <c r="R6" s="84">
        <v>30</v>
      </c>
      <c r="S6" s="84">
        <v>28</v>
      </c>
      <c r="T6" s="84">
        <v>28</v>
      </c>
      <c r="U6" s="84">
        <v>36</v>
      </c>
      <c r="V6" s="84">
        <v>20</v>
      </c>
    </row>
    <row r="7" spans="1:33" s="3" customFormat="1" ht="17.25" thickBot="1" x14ac:dyDescent="0.35">
      <c r="A7" s="2" t="s">
        <v>329</v>
      </c>
      <c r="B7" s="2" t="s">
        <v>330</v>
      </c>
      <c r="C7" s="1">
        <v>40</v>
      </c>
      <c r="D7" s="1">
        <v>2</v>
      </c>
      <c r="E7" s="1">
        <v>35</v>
      </c>
      <c r="F7" s="84">
        <v>16</v>
      </c>
      <c r="G7" s="84">
        <v>7</v>
      </c>
      <c r="H7" s="84">
        <v>7</v>
      </c>
      <c r="I7" s="84">
        <v>16</v>
      </c>
      <c r="J7" s="84">
        <v>7</v>
      </c>
      <c r="K7" s="84">
        <v>17</v>
      </c>
      <c r="L7" s="84">
        <v>10</v>
      </c>
      <c r="M7" s="1">
        <v>21</v>
      </c>
      <c r="N7" s="87">
        <v>68</v>
      </c>
      <c r="O7" s="84">
        <v>12</v>
      </c>
      <c r="P7" s="84">
        <v>32</v>
      </c>
      <c r="Q7" s="84">
        <v>27</v>
      </c>
      <c r="R7" s="84">
        <v>20</v>
      </c>
      <c r="S7" s="84">
        <v>30</v>
      </c>
      <c r="T7" s="84">
        <v>38</v>
      </c>
      <c r="U7" s="84">
        <v>30</v>
      </c>
      <c r="V7" s="84">
        <v>32</v>
      </c>
    </row>
    <row r="8" spans="1:33" s="3" customFormat="1" ht="17.25" thickBot="1" x14ac:dyDescent="0.35">
      <c r="A8" s="2" t="s">
        <v>339</v>
      </c>
      <c r="B8" s="2" t="s">
        <v>340</v>
      </c>
      <c r="C8" s="1"/>
      <c r="D8" s="1"/>
      <c r="E8" s="1"/>
      <c r="F8" s="84"/>
      <c r="G8" s="84"/>
      <c r="H8" s="84"/>
      <c r="I8" s="84"/>
      <c r="J8" s="84"/>
      <c r="K8" s="84"/>
      <c r="L8" s="84"/>
      <c r="M8" s="1"/>
      <c r="N8" s="87"/>
      <c r="O8" s="84"/>
      <c r="P8" s="84"/>
      <c r="Q8" s="84"/>
      <c r="R8" s="84"/>
      <c r="S8" s="84"/>
      <c r="T8" s="84"/>
      <c r="U8" s="84"/>
      <c r="V8" s="84"/>
      <c r="W8" s="1"/>
    </row>
    <row r="9" spans="1:33" s="3" customFormat="1" ht="17.25" thickBot="1" x14ac:dyDescent="0.35">
      <c r="A9" s="2" t="s">
        <v>327</v>
      </c>
      <c r="B9" s="2" t="s">
        <v>328</v>
      </c>
      <c r="C9" s="1">
        <v>50</v>
      </c>
      <c r="D9" s="1">
        <v>14</v>
      </c>
      <c r="E9" s="1">
        <v>19</v>
      </c>
      <c r="F9" s="84">
        <v>13</v>
      </c>
      <c r="G9" s="84">
        <v>8</v>
      </c>
      <c r="H9" s="84">
        <v>9</v>
      </c>
      <c r="I9" s="84">
        <v>16</v>
      </c>
      <c r="J9" s="84">
        <v>17</v>
      </c>
      <c r="K9" s="84">
        <v>10</v>
      </c>
      <c r="L9" s="84">
        <v>15</v>
      </c>
      <c r="M9" s="1">
        <v>56</v>
      </c>
      <c r="N9" s="87">
        <v>82</v>
      </c>
      <c r="O9" s="84">
        <v>20</v>
      </c>
      <c r="P9" s="84">
        <v>25</v>
      </c>
      <c r="Q9" s="84">
        <v>31</v>
      </c>
      <c r="R9" s="84">
        <v>40</v>
      </c>
      <c r="S9" s="84">
        <v>30</v>
      </c>
      <c r="T9" s="84">
        <v>13</v>
      </c>
      <c r="U9" s="84">
        <v>35</v>
      </c>
      <c r="V9" s="84">
        <v>25</v>
      </c>
      <c r="W9" s="1"/>
    </row>
    <row r="10" spans="1:33" s="3" customFormat="1" ht="17.25" thickBot="1" x14ac:dyDescent="0.35">
      <c r="A10" s="2" t="s">
        <v>279</v>
      </c>
      <c r="B10" s="2" t="s">
        <v>280</v>
      </c>
      <c r="C10" s="1">
        <v>20</v>
      </c>
      <c r="D10" s="1">
        <v>10</v>
      </c>
      <c r="E10" s="1">
        <v>9</v>
      </c>
      <c r="F10" s="84">
        <v>7</v>
      </c>
      <c r="G10" s="84">
        <v>5</v>
      </c>
      <c r="H10" s="84">
        <v>5</v>
      </c>
      <c r="I10" s="84">
        <v>10</v>
      </c>
      <c r="J10" s="84"/>
      <c r="K10" s="84"/>
      <c r="L10" s="84">
        <v>5</v>
      </c>
      <c r="M10" s="1">
        <v>40</v>
      </c>
      <c r="N10" s="87">
        <v>41</v>
      </c>
      <c r="O10" s="84">
        <v>15</v>
      </c>
      <c r="P10" s="84">
        <v>7</v>
      </c>
      <c r="Q10" s="84">
        <v>22</v>
      </c>
      <c r="R10" s="84">
        <v>25</v>
      </c>
      <c r="S10" s="84">
        <v>35</v>
      </c>
      <c r="T10" s="84">
        <v>21</v>
      </c>
      <c r="U10" s="84">
        <v>32</v>
      </c>
      <c r="V10" s="84">
        <v>7</v>
      </c>
      <c r="W10" s="1"/>
    </row>
    <row r="11" spans="1:33" s="3" customFormat="1" ht="17.25" thickBot="1" x14ac:dyDescent="0.35">
      <c r="A11" s="2" t="s">
        <v>298</v>
      </c>
      <c r="B11" s="2" t="s">
        <v>299</v>
      </c>
      <c r="C11" s="1">
        <v>40</v>
      </c>
      <c r="D11" s="1">
        <v>5</v>
      </c>
      <c r="E11" s="1">
        <v>17</v>
      </c>
      <c r="F11" s="84">
        <v>5</v>
      </c>
      <c r="G11" s="84">
        <v>8</v>
      </c>
      <c r="H11" s="84">
        <v>9</v>
      </c>
      <c r="I11" s="84">
        <v>16</v>
      </c>
      <c r="J11" s="84">
        <v>13</v>
      </c>
      <c r="K11" s="84">
        <v>13</v>
      </c>
      <c r="L11" s="84">
        <v>6</v>
      </c>
      <c r="M11" s="1">
        <v>35</v>
      </c>
      <c r="N11" s="87">
        <v>55</v>
      </c>
      <c r="O11" s="84">
        <v>20</v>
      </c>
      <c r="P11" s="84">
        <v>28</v>
      </c>
      <c r="Q11" s="84">
        <v>31</v>
      </c>
      <c r="R11" s="84">
        <v>35</v>
      </c>
      <c r="S11" s="84">
        <v>25</v>
      </c>
      <c r="T11" s="84">
        <v>18</v>
      </c>
      <c r="U11" s="84">
        <v>17</v>
      </c>
      <c r="V11" s="84">
        <v>28</v>
      </c>
      <c r="W11" s="1"/>
    </row>
    <row r="12" spans="1:33" s="3" customFormat="1" ht="17.25" thickBot="1" x14ac:dyDescent="0.35">
      <c r="A12" s="2" t="s">
        <v>296</v>
      </c>
      <c r="B12" s="2" t="s">
        <v>51</v>
      </c>
      <c r="C12" s="1">
        <v>30</v>
      </c>
      <c r="D12" s="1">
        <v>6</v>
      </c>
      <c r="E12" s="1">
        <v>15</v>
      </c>
      <c r="F12" s="84">
        <v>4</v>
      </c>
      <c r="G12" s="84">
        <v>17</v>
      </c>
      <c r="H12" s="84">
        <v>17</v>
      </c>
      <c r="I12" s="84">
        <v>32</v>
      </c>
      <c r="J12" s="84">
        <v>20</v>
      </c>
      <c r="K12" s="84">
        <v>10</v>
      </c>
      <c r="L12" s="84">
        <v>17</v>
      </c>
      <c r="M12" s="1">
        <v>60</v>
      </c>
      <c r="N12" s="87">
        <v>71</v>
      </c>
      <c r="O12" s="84">
        <v>20</v>
      </c>
      <c r="P12" s="84">
        <v>27</v>
      </c>
      <c r="Q12" s="84">
        <v>29</v>
      </c>
      <c r="R12" s="84"/>
      <c r="S12" s="84">
        <v>30</v>
      </c>
      <c r="T12" s="84">
        <v>20</v>
      </c>
      <c r="U12" s="84">
        <v>22</v>
      </c>
      <c r="V12" s="84">
        <v>27</v>
      </c>
      <c r="W12" s="1"/>
    </row>
    <row r="13" spans="1:33" s="3" customFormat="1" ht="17.25" thickBot="1" x14ac:dyDescent="0.35">
      <c r="A13" s="2" t="s">
        <v>323</v>
      </c>
      <c r="B13" s="2" t="s">
        <v>324</v>
      </c>
      <c r="C13" s="1">
        <v>23</v>
      </c>
      <c r="D13" s="1">
        <v>9</v>
      </c>
      <c r="E13" s="1">
        <v>15</v>
      </c>
      <c r="F13" s="84">
        <v>2</v>
      </c>
      <c r="G13" s="84">
        <v>7</v>
      </c>
      <c r="H13" s="84">
        <v>8</v>
      </c>
      <c r="I13" s="84">
        <v>14</v>
      </c>
      <c r="J13" s="84">
        <v>13</v>
      </c>
      <c r="K13" s="84">
        <v>10</v>
      </c>
      <c r="L13" s="84">
        <v>10</v>
      </c>
      <c r="M13" s="1">
        <v>40</v>
      </c>
      <c r="N13" s="87">
        <v>75</v>
      </c>
      <c r="O13" s="84">
        <v>20</v>
      </c>
      <c r="P13" s="84">
        <v>25</v>
      </c>
      <c r="Q13" s="84">
        <v>35</v>
      </c>
      <c r="R13" s="84">
        <v>35</v>
      </c>
      <c r="S13" s="84">
        <v>30</v>
      </c>
      <c r="T13" s="84">
        <v>22</v>
      </c>
      <c r="U13" s="84">
        <v>32</v>
      </c>
      <c r="V13" s="84">
        <v>25</v>
      </c>
      <c r="W13" s="1"/>
    </row>
    <row r="14" spans="1:33" s="3" customFormat="1" ht="17.25" thickBot="1" x14ac:dyDescent="0.35">
      <c r="A14" s="2" t="s">
        <v>275</v>
      </c>
      <c r="B14" s="2" t="s">
        <v>276</v>
      </c>
      <c r="C14" s="1">
        <v>35</v>
      </c>
      <c r="D14" s="1">
        <v>8</v>
      </c>
      <c r="E14" s="1">
        <v>20</v>
      </c>
      <c r="F14" s="84">
        <v>2</v>
      </c>
      <c r="G14" s="84">
        <v>7</v>
      </c>
      <c r="H14" s="84">
        <v>6</v>
      </c>
      <c r="I14" s="84">
        <v>14</v>
      </c>
      <c r="J14" s="84">
        <v>17</v>
      </c>
      <c r="K14" s="84">
        <v>10</v>
      </c>
      <c r="L14" s="84">
        <v>12</v>
      </c>
      <c r="M14" s="1">
        <v>51</v>
      </c>
      <c r="N14" s="87">
        <v>55</v>
      </c>
      <c r="O14" s="84">
        <v>28</v>
      </c>
      <c r="P14" s="84">
        <v>26</v>
      </c>
      <c r="Q14" s="84">
        <v>28</v>
      </c>
      <c r="R14" s="84">
        <v>15</v>
      </c>
      <c r="S14" s="84">
        <v>20</v>
      </c>
      <c r="T14" s="84">
        <v>19</v>
      </c>
      <c r="U14" s="84">
        <v>27</v>
      </c>
      <c r="V14" s="84">
        <v>26</v>
      </c>
      <c r="W14" s="1"/>
    </row>
    <row r="15" spans="1:33" s="3" customFormat="1" ht="17.25" thickBot="1" x14ac:dyDescent="0.35">
      <c r="A15" s="2" t="s">
        <v>315</v>
      </c>
      <c r="B15" s="2" t="s">
        <v>316</v>
      </c>
      <c r="C15" s="1">
        <v>20</v>
      </c>
      <c r="D15" s="1">
        <v>5</v>
      </c>
      <c r="E15" s="1">
        <v>35</v>
      </c>
      <c r="F15" s="84">
        <v>7</v>
      </c>
      <c r="G15" s="84">
        <v>6</v>
      </c>
      <c r="H15" s="84">
        <v>6</v>
      </c>
      <c r="I15" s="84">
        <v>12</v>
      </c>
      <c r="J15" s="84">
        <v>1</v>
      </c>
      <c r="K15" s="84">
        <v>17</v>
      </c>
      <c r="L15" s="84">
        <v>9</v>
      </c>
      <c r="M15" s="1">
        <v>39</v>
      </c>
      <c r="N15" s="87">
        <v>50</v>
      </c>
      <c r="O15" s="84">
        <v>20</v>
      </c>
      <c r="P15" s="84">
        <v>20</v>
      </c>
      <c r="Q15" s="84">
        <v>26</v>
      </c>
      <c r="R15" s="84">
        <v>20</v>
      </c>
      <c r="S15" s="84">
        <v>15</v>
      </c>
      <c r="T15" s="84"/>
      <c r="U15" s="84">
        <v>32</v>
      </c>
      <c r="V15" s="84">
        <v>20</v>
      </c>
      <c r="W15" s="1"/>
    </row>
    <row r="16" spans="1:33" s="3" customFormat="1" ht="17.25" thickBot="1" x14ac:dyDescent="0.35">
      <c r="A16" s="2" t="s">
        <v>319</v>
      </c>
      <c r="B16" s="2" t="s">
        <v>320</v>
      </c>
      <c r="C16" s="1">
        <v>30</v>
      </c>
      <c r="D16" s="1">
        <v>5</v>
      </c>
      <c r="E16" s="1">
        <v>35</v>
      </c>
      <c r="F16" s="84">
        <v>10</v>
      </c>
      <c r="G16" s="84">
        <v>7</v>
      </c>
      <c r="H16" s="84">
        <v>7</v>
      </c>
      <c r="I16" s="84">
        <v>14</v>
      </c>
      <c r="J16" s="84">
        <v>3</v>
      </c>
      <c r="K16" s="84">
        <v>10</v>
      </c>
      <c r="L16" s="84">
        <v>5</v>
      </c>
      <c r="M16" s="1">
        <v>54</v>
      </c>
      <c r="N16" s="87">
        <v>47</v>
      </c>
      <c r="O16" s="84">
        <v>20</v>
      </c>
      <c r="P16" s="84">
        <v>24</v>
      </c>
      <c r="Q16" s="84">
        <v>29</v>
      </c>
      <c r="R16" s="84"/>
      <c r="S16" s="84">
        <v>20</v>
      </c>
      <c r="T16" s="84">
        <v>32</v>
      </c>
      <c r="U16" s="84">
        <v>33</v>
      </c>
      <c r="V16" s="84">
        <v>24</v>
      </c>
      <c r="W16" s="1"/>
    </row>
    <row r="17" spans="1:33" s="3" customFormat="1" ht="17.25" thickBot="1" x14ac:dyDescent="0.35">
      <c r="A17" s="2" t="s">
        <v>341</v>
      </c>
      <c r="B17" s="2" t="s">
        <v>342</v>
      </c>
      <c r="C17" s="1"/>
      <c r="D17" s="1"/>
      <c r="E17" s="1"/>
      <c r="F17" s="84"/>
      <c r="G17" s="84"/>
      <c r="H17" s="84"/>
      <c r="I17" s="84"/>
      <c r="J17" s="84"/>
      <c r="K17" s="84"/>
      <c r="L17" s="84"/>
      <c r="M17" s="1"/>
      <c r="N17" s="87"/>
      <c r="O17" s="84"/>
      <c r="P17" s="84"/>
      <c r="Q17" s="84"/>
      <c r="R17" s="84"/>
      <c r="S17" s="84"/>
      <c r="T17" s="84"/>
      <c r="U17" s="84"/>
      <c r="V17" s="84"/>
      <c r="W17" s="1"/>
    </row>
    <row r="18" spans="1:33" s="3" customFormat="1" ht="17.25" thickBot="1" x14ac:dyDescent="0.35">
      <c r="A18" s="2" t="s">
        <v>289</v>
      </c>
      <c r="B18" s="2" t="s">
        <v>290</v>
      </c>
      <c r="C18" s="1">
        <v>20</v>
      </c>
      <c r="D18" s="1">
        <v>5</v>
      </c>
      <c r="E18" s="1">
        <v>25</v>
      </c>
      <c r="F18" s="84">
        <v>5</v>
      </c>
      <c r="G18" s="84">
        <v>7</v>
      </c>
      <c r="H18" s="84">
        <v>8</v>
      </c>
      <c r="I18" s="84">
        <v>16</v>
      </c>
      <c r="J18" s="84">
        <v>3</v>
      </c>
      <c r="K18" s="84">
        <v>10</v>
      </c>
      <c r="L18" s="84">
        <v>10</v>
      </c>
      <c r="M18" s="1">
        <v>37</v>
      </c>
      <c r="N18" s="87">
        <v>30</v>
      </c>
      <c r="O18" s="84">
        <v>20</v>
      </c>
      <c r="P18" s="84">
        <v>24</v>
      </c>
      <c r="Q18" s="84">
        <v>32</v>
      </c>
      <c r="R18" s="84">
        <v>10</v>
      </c>
      <c r="S18" s="84">
        <v>20</v>
      </c>
      <c r="T18" s="84">
        <v>20</v>
      </c>
      <c r="U18" s="84">
        <v>27</v>
      </c>
      <c r="V18" s="84">
        <v>24</v>
      </c>
      <c r="W18" s="1"/>
    </row>
    <row r="19" spans="1:33" s="3" customFormat="1" ht="17.25" thickBot="1" x14ac:dyDescent="0.35">
      <c r="A19" s="2" t="s">
        <v>325</v>
      </c>
      <c r="B19" s="2" t="s">
        <v>326</v>
      </c>
      <c r="C19" s="1">
        <v>35</v>
      </c>
      <c r="D19" s="1">
        <v>6</v>
      </c>
      <c r="E19" s="1">
        <v>9</v>
      </c>
      <c r="F19" s="84">
        <v>2</v>
      </c>
      <c r="G19" s="84">
        <v>7</v>
      </c>
      <c r="H19" s="84">
        <v>7</v>
      </c>
      <c r="I19" s="84">
        <v>24</v>
      </c>
      <c r="J19" s="84">
        <v>7</v>
      </c>
      <c r="K19" s="84">
        <v>13</v>
      </c>
      <c r="L19" s="84">
        <v>10</v>
      </c>
      <c r="M19" s="1">
        <v>27</v>
      </c>
      <c r="N19" s="87">
        <v>55</v>
      </c>
      <c r="O19" s="84">
        <v>20</v>
      </c>
      <c r="P19" s="84">
        <v>26</v>
      </c>
      <c r="Q19" s="84">
        <v>30</v>
      </c>
      <c r="R19" s="84">
        <v>25</v>
      </c>
      <c r="S19" s="84">
        <v>30</v>
      </c>
      <c r="T19" s="84">
        <v>14</v>
      </c>
      <c r="U19" s="84">
        <v>34</v>
      </c>
      <c r="V19" s="84">
        <v>26</v>
      </c>
      <c r="W19" s="1"/>
    </row>
    <row r="20" spans="1:33" s="3" customFormat="1" ht="17.25" thickBot="1" x14ac:dyDescent="0.35">
      <c r="A20" s="2" t="s">
        <v>308</v>
      </c>
      <c r="B20" s="2" t="s">
        <v>309</v>
      </c>
      <c r="C20" s="1">
        <v>37</v>
      </c>
      <c r="D20" s="1">
        <v>5</v>
      </c>
      <c r="E20" s="1">
        <v>15</v>
      </c>
      <c r="F20" s="84">
        <v>2</v>
      </c>
      <c r="G20" s="84">
        <v>4</v>
      </c>
      <c r="H20" s="84">
        <v>4</v>
      </c>
      <c r="I20" s="84">
        <v>8</v>
      </c>
      <c r="J20" s="84">
        <v>7</v>
      </c>
      <c r="K20" s="84">
        <v>10</v>
      </c>
      <c r="L20" s="84">
        <v>3</v>
      </c>
      <c r="M20" s="1">
        <v>51</v>
      </c>
      <c r="N20" s="87">
        <v>50</v>
      </c>
      <c r="O20" s="84">
        <v>20</v>
      </c>
      <c r="P20" s="84">
        <v>6</v>
      </c>
      <c r="Q20" s="84">
        <v>24</v>
      </c>
      <c r="R20" s="84">
        <v>20</v>
      </c>
      <c r="S20" s="84">
        <v>25</v>
      </c>
      <c r="T20" s="84">
        <v>20</v>
      </c>
      <c r="U20" s="84">
        <v>34</v>
      </c>
      <c r="V20" s="84">
        <v>6</v>
      </c>
      <c r="W20" s="1"/>
    </row>
    <row r="21" spans="1:33" s="3" customFormat="1" ht="17.25" thickBot="1" x14ac:dyDescent="0.35">
      <c r="A21" s="2" t="s">
        <v>273</v>
      </c>
      <c r="B21" s="2" t="s">
        <v>274</v>
      </c>
      <c r="C21" s="1">
        <v>10</v>
      </c>
      <c r="D21" s="1">
        <v>10</v>
      </c>
      <c r="E21" s="1">
        <v>9</v>
      </c>
      <c r="F21" s="84">
        <v>8</v>
      </c>
      <c r="G21" s="84">
        <v>5</v>
      </c>
      <c r="H21" s="84">
        <v>5</v>
      </c>
      <c r="I21" s="84">
        <v>10</v>
      </c>
      <c r="J21" s="84">
        <v>10</v>
      </c>
      <c r="K21" s="84"/>
      <c r="L21" s="84">
        <v>4</v>
      </c>
      <c r="M21" s="1">
        <v>35</v>
      </c>
      <c r="N21" s="87">
        <v>17</v>
      </c>
      <c r="O21" s="84">
        <v>12</v>
      </c>
      <c r="P21" s="84">
        <v>26</v>
      </c>
      <c r="Q21" s="84">
        <v>15</v>
      </c>
      <c r="R21" s="84">
        <v>10</v>
      </c>
      <c r="S21" s="84">
        <v>20</v>
      </c>
      <c r="T21" s="84">
        <v>18</v>
      </c>
      <c r="U21" s="84">
        <v>33</v>
      </c>
      <c r="V21" s="84">
        <v>26</v>
      </c>
      <c r="W21" s="1"/>
    </row>
    <row r="22" spans="1:33" s="3" customFormat="1" ht="17.25" thickBot="1" x14ac:dyDescent="0.35">
      <c r="A22" s="2" t="s">
        <v>138</v>
      </c>
      <c r="B22" s="2" t="s">
        <v>138</v>
      </c>
      <c r="C22" s="1">
        <v>40</v>
      </c>
      <c r="D22" s="1">
        <v>2</v>
      </c>
      <c r="E22" s="1">
        <v>13</v>
      </c>
      <c r="F22" s="84">
        <v>2</v>
      </c>
      <c r="G22" s="84">
        <v>9</v>
      </c>
      <c r="H22" s="84">
        <v>8</v>
      </c>
      <c r="I22" s="84">
        <v>18</v>
      </c>
      <c r="J22" s="84">
        <v>10</v>
      </c>
      <c r="K22" s="84">
        <v>1</v>
      </c>
      <c r="L22" s="84">
        <v>7</v>
      </c>
      <c r="M22" s="1">
        <v>48</v>
      </c>
      <c r="N22" s="87">
        <v>21</v>
      </c>
      <c r="O22" s="84">
        <v>13</v>
      </c>
      <c r="P22" s="84">
        <v>24</v>
      </c>
      <c r="Q22" s="84">
        <v>20</v>
      </c>
      <c r="R22" s="84">
        <v>25</v>
      </c>
      <c r="S22" s="84">
        <v>25</v>
      </c>
      <c r="T22" s="84">
        <v>20</v>
      </c>
      <c r="U22" s="84">
        <v>18</v>
      </c>
      <c r="V22" s="84">
        <v>24</v>
      </c>
      <c r="W22" s="1"/>
    </row>
    <row r="23" spans="1:33" s="3" customFormat="1" ht="17.25" thickBot="1" x14ac:dyDescent="0.35">
      <c r="A23" s="2" t="s">
        <v>291</v>
      </c>
      <c r="B23" s="2" t="s">
        <v>292</v>
      </c>
      <c r="C23" s="1">
        <v>20</v>
      </c>
      <c r="D23" s="1">
        <v>10</v>
      </c>
      <c r="E23" s="1">
        <v>21</v>
      </c>
      <c r="F23" s="84">
        <v>8</v>
      </c>
      <c r="G23" s="84">
        <v>10</v>
      </c>
      <c r="H23" s="84">
        <v>10</v>
      </c>
      <c r="I23" s="84">
        <v>20</v>
      </c>
      <c r="J23" s="84">
        <v>13</v>
      </c>
      <c r="K23" s="84">
        <v>13</v>
      </c>
      <c r="L23" s="84">
        <v>19</v>
      </c>
      <c r="M23" s="1">
        <v>44</v>
      </c>
      <c r="N23" s="87">
        <v>55</v>
      </c>
      <c r="O23" s="84">
        <v>20</v>
      </c>
      <c r="P23" s="84">
        <v>1</v>
      </c>
      <c r="Q23" s="84">
        <v>30</v>
      </c>
      <c r="R23" s="84">
        <v>35</v>
      </c>
      <c r="S23" s="84">
        <v>25</v>
      </c>
      <c r="T23" s="84"/>
      <c r="U23" s="84">
        <v>32</v>
      </c>
      <c r="V23" s="84">
        <v>1</v>
      </c>
      <c r="W23" s="1"/>
    </row>
    <row r="24" spans="1:33" s="3" customFormat="1" ht="17.25" thickBot="1" x14ac:dyDescent="0.35">
      <c r="A24" s="2" t="s">
        <v>267</v>
      </c>
      <c r="B24" s="2" t="s">
        <v>268</v>
      </c>
      <c r="C24" s="1">
        <v>50</v>
      </c>
      <c r="D24" s="1">
        <v>1</v>
      </c>
      <c r="E24" s="1">
        <v>26</v>
      </c>
      <c r="F24" s="84">
        <v>10</v>
      </c>
      <c r="G24" s="84">
        <v>8</v>
      </c>
      <c r="H24" s="84">
        <v>8</v>
      </c>
      <c r="I24" s="84">
        <v>16</v>
      </c>
      <c r="J24" s="84">
        <v>10</v>
      </c>
      <c r="K24" s="84">
        <v>3</v>
      </c>
      <c r="L24" s="84">
        <v>9</v>
      </c>
      <c r="M24" s="1">
        <v>58</v>
      </c>
      <c r="N24" s="87">
        <v>59</v>
      </c>
      <c r="O24" s="84">
        <v>20</v>
      </c>
      <c r="P24" s="84">
        <v>28</v>
      </c>
      <c r="Q24" s="84">
        <v>18</v>
      </c>
      <c r="R24" s="84">
        <v>15</v>
      </c>
      <c r="S24" s="84">
        <v>35</v>
      </c>
      <c r="T24" s="84">
        <v>20</v>
      </c>
      <c r="U24" s="84">
        <v>37</v>
      </c>
      <c r="V24" s="84">
        <v>28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3" customFormat="1" ht="17.25" thickBot="1" x14ac:dyDescent="0.35">
      <c r="A25" s="2" t="s">
        <v>258</v>
      </c>
      <c r="B25" s="2" t="s">
        <v>259</v>
      </c>
      <c r="C25" s="1">
        <v>55</v>
      </c>
      <c r="D25" s="1">
        <v>8</v>
      </c>
      <c r="E25" s="1">
        <v>25</v>
      </c>
      <c r="F25" s="84">
        <v>6</v>
      </c>
      <c r="G25" s="84">
        <v>5</v>
      </c>
      <c r="H25" s="84">
        <v>5</v>
      </c>
      <c r="I25" s="84">
        <v>12</v>
      </c>
      <c r="J25" s="84">
        <v>1</v>
      </c>
      <c r="K25" s="84">
        <v>3</v>
      </c>
      <c r="L25" s="84">
        <v>8</v>
      </c>
      <c r="M25" s="1">
        <v>20</v>
      </c>
      <c r="N25" s="87"/>
      <c r="O25" s="84">
        <v>20</v>
      </c>
      <c r="P25" s="84">
        <v>25</v>
      </c>
      <c r="Q25" s="84"/>
      <c r="R25" s="84">
        <v>10</v>
      </c>
      <c r="S25" s="84">
        <v>30</v>
      </c>
      <c r="T25" s="84">
        <v>18</v>
      </c>
      <c r="U25" s="84">
        <v>31</v>
      </c>
      <c r="V25" s="84">
        <v>25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3" customFormat="1" ht="17.25" thickBot="1" x14ac:dyDescent="0.35">
      <c r="A26" s="2" t="s">
        <v>156</v>
      </c>
      <c r="B26" s="2" t="s">
        <v>241</v>
      </c>
      <c r="C26" s="1">
        <v>25</v>
      </c>
      <c r="D26" s="1">
        <v>5</v>
      </c>
      <c r="E26" s="1">
        <v>7</v>
      </c>
      <c r="F26" s="84">
        <v>5</v>
      </c>
      <c r="G26" s="84">
        <v>4</v>
      </c>
      <c r="H26" s="84">
        <v>4</v>
      </c>
      <c r="I26" s="84">
        <v>8</v>
      </c>
      <c r="J26" s="84">
        <v>1</v>
      </c>
      <c r="K26" s="84">
        <v>7</v>
      </c>
      <c r="L26" s="84">
        <v>4</v>
      </c>
      <c r="M26" s="1">
        <v>32</v>
      </c>
      <c r="N26" s="87">
        <v>8</v>
      </c>
      <c r="O26" s="84"/>
      <c r="P26" s="84">
        <v>20</v>
      </c>
      <c r="Q26" s="84">
        <v>6</v>
      </c>
      <c r="R26" s="84">
        <v>10</v>
      </c>
      <c r="S26" s="84">
        <v>30</v>
      </c>
      <c r="T26" s="84"/>
      <c r="U26" s="84">
        <v>20</v>
      </c>
      <c r="V26" s="84">
        <v>20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3" customFormat="1" ht="17.25" thickBot="1" x14ac:dyDescent="0.35">
      <c r="A27" s="2" t="s">
        <v>310</v>
      </c>
      <c r="B27" s="2" t="s">
        <v>311</v>
      </c>
      <c r="C27" s="1">
        <v>25</v>
      </c>
      <c r="D27" s="1">
        <v>19</v>
      </c>
      <c r="E27" s="1">
        <v>37</v>
      </c>
      <c r="F27" s="84">
        <v>13</v>
      </c>
      <c r="G27" s="84">
        <v>11</v>
      </c>
      <c r="H27" s="84">
        <v>12</v>
      </c>
      <c r="I27" s="84">
        <v>24</v>
      </c>
      <c r="J27" s="84">
        <v>10</v>
      </c>
      <c r="K27" s="84">
        <v>10</v>
      </c>
      <c r="L27" s="84">
        <v>14</v>
      </c>
      <c r="M27" s="1">
        <v>47</v>
      </c>
      <c r="N27" s="87">
        <v>63</v>
      </c>
      <c r="O27" s="84">
        <v>15</v>
      </c>
      <c r="P27" s="84">
        <v>1</v>
      </c>
      <c r="Q27" s="84">
        <v>29</v>
      </c>
      <c r="R27" s="84">
        <v>20</v>
      </c>
      <c r="S27" s="84">
        <v>30</v>
      </c>
      <c r="T27" s="84">
        <v>18</v>
      </c>
      <c r="U27" s="84">
        <v>20</v>
      </c>
      <c r="V27" s="84">
        <v>1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3" customFormat="1" ht="17.25" thickBot="1" x14ac:dyDescent="0.35">
      <c r="A28" s="2" t="s">
        <v>300</v>
      </c>
      <c r="B28" s="2" t="s">
        <v>301</v>
      </c>
      <c r="C28" s="1">
        <v>40</v>
      </c>
      <c r="D28" s="1">
        <v>5</v>
      </c>
      <c r="E28" s="1">
        <v>17</v>
      </c>
      <c r="F28" s="84">
        <v>12</v>
      </c>
      <c r="G28" s="84">
        <v>6</v>
      </c>
      <c r="H28" s="84">
        <v>7</v>
      </c>
      <c r="I28" s="84">
        <v>14</v>
      </c>
      <c r="J28" s="84">
        <v>10</v>
      </c>
      <c r="K28" s="84">
        <v>1</v>
      </c>
      <c r="L28" s="84">
        <v>4</v>
      </c>
      <c r="M28" s="1">
        <v>58</v>
      </c>
      <c r="N28" s="87">
        <v>71</v>
      </c>
      <c r="O28" s="84">
        <v>15</v>
      </c>
      <c r="P28" s="84">
        <v>27</v>
      </c>
      <c r="Q28" s="84">
        <v>16</v>
      </c>
      <c r="R28" s="84">
        <v>10</v>
      </c>
      <c r="S28" s="84">
        <v>20</v>
      </c>
      <c r="T28" s="84">
        <v>29</v>
      </c>
      <c r="U28" s="84">
        <v>21</v>
      </c>
      <c r="V28" s="84">
        <v>27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3" customFormat="1" ht="17.25" thickBot="1" x14ac:dyDescent="0.35">
      <c r="A29" s="2" t="s">
        <v>271</v>
      </c>
      <c r="B29" s="2" t="s">
        <v>272</v>
      </c>
      <c r="C29" s="1">
        <v>25</v>
      </c>
      <c r="D29" s="1">
        <v>8</v>
      </c>
      <c r="E29" s="1">
        <v>11</v>
      </c>
      <c r="F29" s="84">
        <v>4</v>
      </c>
      <c r="G29" s="84"/>
      <c r="H29" s="84"/>
      <c r="I29" s="84"/>
      <c r="J29" s="84">
        <v>17</v>
      </c>
      <c r="K29" s="84">
        <v>10</v>
      </c>
      <c r="L29" s="84">
        <v>12</v>
      </c>
      <c r="M29" s="1">
        <v>40</v>
      </c>
      <c r="N29" s="87">
        <v>62</v>
      </c>
      <c r="O29" s="84"/>
      <c r="P29" s="84">
        <v>25</v>
      </c>
      <c r="Q29" s="84">
        <v>20</v>
      </c>
      <c r="R29" s="84"/>
      <c r="S29" s="84"/>
      <c r="T29" s="84">
        <v>18</v>
      </c>
      <c r="U29" s="84">
        <v>26</v>
      </c>
      <c r="V29" s="84">
        <v>25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3" customFormat="1" ht="17.25" thickBot="1" x14ac:dyDescent="0.35">
      <c r="A30" s="2" t="s">
        <v>260</v>
      </c>
      <c r="B30" s="2" t="s">
        <v>261</v>
      </c>
      <c r="C30" s="1">
        <v>35</v>
      </c>
      <c r="D30" s="1">
        <v>5</v>
      </c>
      <c r="E30" s="1">
        <v>19</v>
      </c>
      <c r="F30" s="84">
        <v>5</v>
      </c>
      <c r="G30" s="84">
        <v>12</v>
      </c>
      <c r="H30" s="84">
        <v>13</v>
      </c>
      <c r="I30" s="84">
        <v>26</v>
      </c>
      <c r="J30" s="84">
        <v>17</v>
      </c>
      <c r="K30" s="84">
        <v>7</v>
      </c>
      <c r="L30" s="84">
        <v>16</v>
      </c>
      <c r="M30" s="1">
        <v>37</v>
      </c>
      <c r="N30" s="87">
        <v>52</v>
      </c>
      <c r="O30" s="84">
        <v>20</v>
      </c>
      <c r="P30" s="84">
        <v>26</v>
      </c>
      <c r="Q30" s="84">
        <v>28</v>
      </c>
      <c r="R30" s="84">
        <v>40</v>
      </c>
      <c r="S30" s="84">
        <v>35</v>
      </c>
      <c r="T30" s="84">
        <v>33</v>
      </c>
      <c r="U30" s="84">
        <v>20</v>
      </c>
      <c r="V30" s="84">
        <v>26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3" customFormat="1" ht="17.25" thickBot="1" x14ac:dyDescent="0.35">
      <c r="A31" s="2" t="s">
        <v>335</v>
      </c>
      <c r="B31" s="2" t="s">
        <v>336</v>
      </c>
      <c r="C31" s="1">
        <v>35</v>
      </c>
      <c r="D31" s="1">
        <v>12</v>
      </c>
      <c r="E31" s="1">
        <v>13</v>
      </c>
      <c r="F31" s="84">
        <v>15</v>
      </c>
      <c r="G31" s="84">
        <v>18</v>
      </c>
      <c r="H31" s="84">
        <v>17</v>
      </c>
      <c r="I31" s="84">
        <v>34</v>
      </c>
      <c r="J31" s="84">
        <v>10</v>
      </c>
      <c r="K31" s="84">
        <v>10</v>
      </c>
      <c r="L31" s="84">
        <v>14</v>
      </c>
      <c r="M31" s="1">
        <v>53</v>
      </c>
      <c r="N31" s="87">
        <v>66</v>
      </c>
      <c r="O31" s="84">
        <v>25</v>
      </c>
      <c r="P31" s="84">
        <v>26</v>
      </c>
      <c r="Q31" s="84">
        <v>30</v>
      </c>
      <c r="R31" s="84">
        <v>30</v>
      </c>
      <c r="S31" s="84">
        <v>30</v>
      </c>
      <c r="T31" s="84"/>
      <c r="U31" s="84">
        <v>27</v>
      </c>
      <c r="V31" s="84">
        <v>26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3" customFormat="1" ht="17.25" thickBot="1" x14ac:dyDescent="0.35">
      <c r="A32" s="2" t="s">
        <v>263</v>
      </c>
      <c r="B32" s="2" t="s">
        <v>264</v>
      </c>
      <c r="C32" s="1"/>
      <c r="D32" s="1"/>
      <c r="E32" s="1"/>
      <c r="F32" s="84"/>
      <c r="G32" s="84">
        <v>12</v>
      </c>
      <c r="H32" s="84">
        <v>12</v>
      </c>
      <c r="I32" s="84">
        <v>26</v>
      </c>
      <c r="J32" s="84">
        <v>10</v>
      </c>
      <c r="K32" s="84">
        <v>13</v>
      </c>
      <c r="L32" s="84">
        <v>11</v>
      </c>
      <c r="M32" s="1">
        <v>36</v>
      </c>
      <c r="N32" s="87">
        <v>48</v>
      </c>
      <c r="O32" s="84">
        <v>15</v>
      </c>
      <c r="P32" s="84">
        <v>1</v>
      </c>
      <c r="Q32" s="84">
        <v>20</v>
      </c>
      <c r="R32" s="84">
        <v>40</v>
      </c>
      <c r="S32" s="84">
        <v>30</v>
      </c>
      <c r="T32" s="84">
        <v>19</v>
      </c>
      <c r="U32" s="84">
        <v>33</v>
      </c>
      <c r="V32" s="84">
        <v>1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3" customFormat="1" ht="17.25" thickBot="1" x14ac:dyDescent="0.35">
      <c r="A33" s="2" t="s">
        <v>306</v>
      </c>
      <c r="B33" s="2" t="s">
        <v>307</v>
      </c>
      <c r="C33" s="1">
        <v>40</v>
      </c>
      <c r="D33" s="1">
        <v>3</v>
      </c>
      <c r="E33" s="1">
        <v>27</v>
      </c>
      <c r="F33" s="84">
        <v>4</v>
      </c>
      <c r="G33" s="84">
        <v>7</v>
      </c>
      <c r="H33" s="84">
        <v>7</v>
      </c>
      <c r="I33" s="84">
        <v>14</v>
      </c>
      <c r="J33" s="84">
        <v>7</v>
      </c>
      <c r="K33" s="84">
        <v>13</v>
      </c>
      <c r="L33" s="84">
        <v>7</v>
      </c>
      <c r="M33" s="1">
        <v>24</v>
      </c>
      <c r="N33" s="87">
        <v>63</v>
      </c>
      <c r="O33" s="84">
        <v>18</v>
      </c>
      <c r="P33" s="84">
        <v>1</v>
      </c>
      <c r="Q33" s="84">
        <v>20</v>
      </c>
      <c r="R33" s="84">
        <v>10</v>
      </c>
      <c r="S33" s="84">
        <v>35</v>
      </c>
      <c r="T33" s="84">
        <v>24</v>
      </c>
      <c r="U33" s="84">
        <v>33</v>
      </c>
      <c r="V33" s="84">
        <v>1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3" customFormat="1" ht="17.25" thickBot="1" x14ac:dyDescent="0.35">
      <c r="A34" s="2" t="s">
        <v>244</v>
      </c>
      <c r="B34" s="2" t="s">
        <v>245</v>
      </c>
      <c r="C34" s="1">
        <v>25</v>
      </c>
      <c r="D34" s="1">
        <v>2</v>
      </c>
      <c r="E34" s="1">
        <v>7</v>
      </c>
      <c r="F34" s="84">
        <v>2</v>
      </c>
      <c r="G34" s="84">
        <v>3</v>
      </c>
      <c r="H34" s="84">
        <v>3</v>
      </c>
      <c r="I34" s="84">
        <v>8</v>
      </c>
      <c r="J34" s="84">
        <v>1</v>
      </c>
      <c r="K34" s="84">
        <v>3</v>
      </c>
      <c r="L34" s="84">
        <v>7</v>
      </c>
      <c r="M34" s="1">
        <v>45</v>
      </c>
      <c r="N34" s="87">
        <v>68</v>
      </c>
      <c r="O34" s="84">
        <v>20</v>
      </c>
      <c r="P34" s="84">
        <v>24</v>
      </c>
      <c r="Q34" s="84">
        <v>5</v>
      </c>
      <c r="R34" s="84">
        <v>10</v>
      </c>
      <c r="S34" s="84">
        <v>10</v>
      </c>
      <c r="T34" s="84">
        <v>19</v>
      </c>
      <c r="U34" s="84">
        <v>11</v>
      </c>
      <c r="V34" s="84">
        <v>24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3" customFormat="1" ht="17.25" thickBot="1" x14ac:dyDescent="0.35">
      <c r="A35" s="2" t="s">
        <v>252</v>
      </c>
      <c r="B35" s="2" t="s">
        <v>253</v>
      </c>
      <c r="C35" s="1">
        <v>20</v>
      </c>
      <c r="D35" s="1">
        <v>2</v>
      </c>
      <c r="E35" s="1">
        <v>7</v>
      </c>
      <c r="F35" s="84">
        <v>2</v>
      </c>
      <c r="G35" s="84">
        <v>6</v>
      </c>
      <c r="H35" s="84">
        <v>7</v>
      </c>
      <c r="I35" s="84">
        <v>14</v>
      </c>
      <c r="J35" s="84">
        <v>10</v>
      </c>
      <c r="K35" s="84">
        <v>1</v>
      </c>
      <c r="L35" s="84">
        <v>1</v>
      </c>
      <c r="M35" s="1">
        <v>41</v>
      </c>
      <c r="N35" s="87">
        <v>13</v>
      </c>
      <c r="O35" s="84">
        <v>20</v>
      </c>
      <c r="P35" s="84">
        <v>25</v>
      </c>
      <c r="Q35" s="84">
        <v>6</v>
      </c>
      <c r="R35" s="84">
        <v>20</v>
      </c>
      <c r="S35" s="84">
        <v>10</v>
      </c>
      <c r="T35" s="84">
        <v>18</v>
      </c>
      <c r="U35" s="84">
        <v>22</v>
      </c>
      <c r="V35" s="84">
        <v>25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s="3" customFormat="1" ht="17.25" thickBot="1" x14ac:dyDescent="0.35">
      <c r="A36" s="2" t="s">
        <v>265</v>
      </c>
      <c r="B36" s="2" t="s">
        <v>266</v>
      </c>
      <c r="C36" s="1">
        <v>5</v>
      </c>
      <c r="D36" s="1">
        <v>5</v>
      </c>
      <c r="E36" s="1">
        <v>7</v>
      </c>
      <c r="F36" s="84">
        <v>4</v>
      </c>
      <c r="G36" s="84">
        <v>7</v>
      </c>
      <c r="H36" s="84">
        <v>8</v>
      </c>
      <c r="I36" s="84">
        <v>14</v>
      </c>
      <c r="J36" s="84">
        <v>10</v>
      </c>
      <c r="K36" s="84">
        <v>3</v>
      </c>
      <c r="L36" s="84">
        <v>12</v>
      </c>
      <c r="M36" s="1">
        <v>14</v>
      </c>
      <c r="N36" s="87">
        <v>31</v>
      </c>
      <c r="O36" s="84"/>
      <c r="P36" s="84">
        <v>22</v>
      </c>
      <c r="Q36" s="84">
        <v>26</v>
      </c>
      <c r="R36" s="84">
        <v>10</v>
      </c>
      <c r="S36" s="84">
        <v>25</v>
      </c>
      <c r="T36" s="84">
        <v>16</v>
      </c>
      <c r="U36" s="84">
        <v>29</v>
      </c>
      <c r="V36" s="84">
        <v>22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s="3" customFormat="1" ht="17.25" thickBot="1" x14ac:dyDescent="0.35">
      <c r="A37" s="2" t="s">
        <v>284</v>
      </c>
      <c r="B37" s="2" t="s">
        <v>285</v>
      </c>
      <c r="C37" s="1">
        <v>20</v>
      </c>
      <c r="D37" s="1">
        <v>1</v>
      </c>
      <c r="E37" s="1">
        <v>27</v>
      </c>
      <c r="F37" s="84">
        <v>2</v>
      </c>
      <c r="G37" s="84">
        <v>5</v>
      </c>
      <c r="H37" s="84">
        <v>5</v>
      </c>
      <c r="I37" s="84">
        <v>10</v>
      </c>
      <c r="J37" s="84">
        <v>10</v>
      </c>
      <c r="K37" s="84">
        <v>7</v>
      </c>
      <c r="L37" s="84">
        <v>7</v>
      </c>
      <c r="M37" s="1">
        <v>33</v>
      </c>
      <c r="N37" s="87">
        <v>30</v>
      </c>
      <c r="O37" s="84">
        <v>25</v>
      </c>
      <c r="P37" s="84">
        <v>1</v>
      </c>
      <c r="Q37" s="84">
        <v>21</v>
      </c>
      <c r="R37" s="84">
        <v>20</v>
      </c>
      <c r="S37" s="84">
        <v>25</v>
      </c>
      <c r="T37" s="84">
        <v>15</v>
      </c>
      <c r="U37" s="84">
        <v>30</v>
      </c>
      <c r="V37" s="84">
        <v>1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s="3" customFormat="1" ht="17.25" thickBot="1" x14ac:dyDescent="0.35">
      <c r="A38" s="2" t="s">
        <v>317</v>
      </c>
      <c r="B38" s="2" t="s">
        <v>318</v>
      </c>
      <c r="C38" s="1">
        <v>50</v>
      </c>
      <c r="D38" s="1">
        <v>4</v>
      </c>
      <c r="E38" s="1">
        <v>27</v>
      </c>
      <c r="F38" s="84">
        <v>6</v>
      </c>
      <c r="G38" s="84">
        <v>5</v>
      </c>
      <c r="H38" s="84">
        <v>6</v>
      </c>
      <c r="I38" s="84">
        <v>10</v>
      </c>
      <c r="J38" s="84">
        <v>10</v>
      </c>
      <c r="K38" s="84">
        <v>13</v>
      </c>
      <c r="L38" s="84">
        <v>15</v>
      </c>
      <c r="M38" s="1">
        <v>20</v>
      </c>
      <c r="N38" s="87">
        <v>58</v>
      </c>
      <c r="O38" s="84">
        <v>18</v>
      </c>
      <c r="P38" s="84">
        <v>30</v>
      </c>
      <c r="Q38" s="84">
        <v>27</v>
      </c>
      <c r="R38" s="84">
        <v>20</v>
      </c>
      <c r="S38" s="84">
        <v>40</v>
      </c>
      <c r="T38" s="84">
        <v>20</v>
      </c>
      <c r="U38" s="84">
        <v>22</v>
      </c>
      <c r="V38" s="84">
        <v>30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s="3" customFormat="1" ht="17.25" thickBot="1" x14ac:dyDescent="0.35">
      <c r="A39" s="2" t="s">
        <v>239</v>
      </c>
      <c r="B39" s="2" t="s">
        <v>240</v>
      </c>
      <c r="C39" s="1">
        <v>35</v>
      </c>
      <c r="D39" s="1">
        <v>14</v>
      </c>
      <c r="E39" s="1">
        <v>11</v>
      </c>
      <c r="F39" s="84">
        <v>10</v>
      </c>
      <c r="G39" s="84">
        <v>4</v>
      </c>
      <c r="H39" s="84">
        <v>4</v>
      </c>
      <c r="I39" s="84">
        <v>6</v>
      </c>
      <c r="J39" s="84">
        <v>1</v>
      </c>
      <c r="K39" s="84">
        <v>1</v>
      </c>
      <c r="L39" s="84">
        <v>4</v>
      </c>
      <c r="M39" s="1">
        <v>12</v>
      </c>
      <c r="N39" s="87">
        <v>27</v>
      </c>
      <c r="O39" s="84">
        <v>10</v>
      </c>
      <c r="P39" s="84">
        <v>7</v>
      </c>
      <c r="Q39" s="84">
        <v>5</v>
      </c>
      <c r="R39" s="84">
        <v>20</v>
      </c>
      <c r="S39" s="84">
        <v>25</v>
      </c>
      <c r="T39" s="84">
        <v>18</v>
      </c>
      <c r="U39" s="84">
        <v>20</v>
      </c>
      <c r="V39" s="84">
        <v>7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s="3" customFormat="1" ht="17.25" thickBot="1" x14ac:dyDescent="0.35">
      <c r="A40" s="2" t="s">
        <v>294</v>
      </c>
      <c r="B40" s="2" t="s">
        <v>312</v>
      </c>
      <c r="C40" s="1">
        <v>35</v>
      </c>
      <c r="D40" s="1">
        <v>2</v>
      </c>
      <c r="E40" s="1">
        <v>29</v>
      </c>
      <c r="F40" s="84">
        <v>5</v>
      </c>
      <c r="G40" s="84">
        <v>9</v>
      </c>
      <c r="H40" s="84">
        <v>9</v>
      </c>
      <c r="I40" s="84">
        <v>20</v>
      </c>
      <c r="J40" s="84">
        <v>7</v>
      </c>
      <c r="K40" s="84">
        <v>7</v>
      </c>
      <c r="L40" s="84">
        <v>14</v>
      </c>
      <c r="M40" s="1">
        <v>34</v>
      </c>
      <c r="N40" s="87">
        <v>57</v>
      </c>
      <c r="O40" s="84">
        <v>15</v>
      </c>
      <c r="P40" s="84">
        <v>25</v>
      </c>
      <c r="Q40" s="84">
        <v>29</v>
      </c>
      <c r="R40" s="84">
        <v>25</v>
      </c>
      <c r="S40" s="84">
        <v>30</v>
      </c>
      <c r="T40" s="84">
        <v>14</v>
      </c>
      <c r="U40" s="84">
        <v>28</v>
      </c>
      <c r="V40" s="84">
        <v>25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7.25" thickBot="1" x14ac:dyDescent="0.35">
      <c r="A41" s="2" t="s">
        <v>254</v>
      </c>
      <c r="B41" s="2" t="s">
        <v>255</v>
      </c>
      <c r="C41" s="1">
        <v>65</v>
      </c>
      <c r="D41" s="1">
        <v>8</v>
      </c>
      <c r="E41" s="1">
        <v>15</v>
      </c>
      <c r="F41" s="84">
        <v>9</v>
      </c>
      <c r="G41" s="84">
        <v>14</v>
      </c>
      <c r="H41" s="84">
        <v>14</v>
      </c>
      <c r="I41" s="84">
        <v>28</v>
      </c>
      <c r="J41" s="84"/>
      <c r="K41" s="84"/>
      <c r="L41" s="84">
        <v>10</v>
      </c>
      <c r="M41" s="1">
        <v>52</v>
      </c>
      <c r="N41" s="87">
        <v>57</v>
      </c>
      <c r="O41" s="84">
        <v>10</v>
      </c>
      <c r="P41" s="84">
        <v>1</v>
      </c>
      <c r="Q41" s="84">
        <v>20</v>
      </c>
      <c r="R41" s="84">
        <v>20</v>
      </c>
      <c r="S41" s="84">
        <v>35</v>
      </c>
      <c r="T41" s="84">
        <v>16</v>
      </c>
      <c r="U41" s="84">
        <v>30</v>
      </c>
      <c r="V41" s="84">
        <v>1</v>
      </c>
    </row>
    <row r="42" spans="1:33" ht="17.25" thickBot="1" x14ac:dyDescent="0.35">
      <c r="A42" s="2" t="s">
        <v>246</v>
      </c>
      <c r="B42" s="2" t="s">
        <v>247</v>
      </c>
      <c r="C42" s="1">
        <v>50</v>
      </c>
      <c r="D42" s="1">
        <v>19</v>
      </c>
      <c r="E42" s="1">
        <v>33</v>
      </c>
      <c r="F42" s="84">
        <v>18</v>
      </c>
      <c r="G42" s="84">
        <v>12</v>
      </c>
      <c r="H42" s="84">
        <v>12</v>
      </c>
      <c r="I42" s="84">
        <v>26</v>
      </c>
      <c r="J42" s="84">
        <v>1</v>
      </c>
      <c r="K42" s="84">
        <v>3</v>
      </c>
      <c r="L42" s="84">
        <v>4</v>
      </c>
      <c r="M42" s="1">
        <v>36</v>
      </c>
      <c r="N42" s="87">
        <v>19</v>
      </c>
      <c r="O42" s="84">
        <v>10</v>
      </c>
      <c r="P42" s="84">
        <v>26</v>
      </c>
      <c r="Q42" s="84">
        <v>6</v>
      </c>
      <c r="R42" s="84">
        <v>20</v>
      </c>
      <c r="S42" s="84">
        <v>30</v>
      </c>
      <c r="T42" s="84">
        <v>20</v>
      </c>
      <c r="U42" s="84">
        <v>22</v>
      </c>
      <c r="V42" s="84">
        <v>26</v>
      </c>
    </row>
    <row r="43" spans="1:33" ht="17.25" thickBot="1" x14ac:dyDescent="0.35">
      <c r="A43" s="2" t="s">
        <v>293</v>
      </c>
      <c r="B43" s="2" t="s">
        <v>294</v>
      </c>
      <c r="C43" s="1">
        <v>68</v>
      </c>
      <c r="D43" s="1">
        <v>19</v>
      </c>
      <c r="E43" s="1">
        <v>21</v>
      </c>
      <c r="F43" s="84">
        <v>18</v>
      </c>
      <c r="G43" s="84">
        <v>17</v>
      </c>
      <c r="H43" s="84">
        <v>17</v>
      </c>
      <c r="I43" s="84">
        <v>32</v>
      </c>
      <c r="J43" s="84">
        <v>13</v>
      </c>
      <c r="K43" s="84">
        <v>10</v>
      </c>
      <c r="L43" s="84">
        <v>15</v>
      </c>
      <c r="M43" s="1">
        <v>48</v>
      </c>
      <c r="N43" s="87">
        <v>56</v>
      </c>
      <c r="O43" s="84">
        <v>20</v>
      </c>
      <c r="P43" s="84">
        <v>25</v>
      </c>
      <c r="Q43" s="84">
        <v>24</v>
      </c>
      <c r="R43" s="84">
        <v>25</v>
      </c>
      <c r="S43" s="84">
        <v>30</v>
      </c>
      <c r="T43" s="84">
        <v>15</v>
      </c>
      <c r="U43" s="84">
        <v>26</v>
      </c>
      <c r="V43" s="84">
        <v>25</v>
      </c>
    </row>
    <row r="44" spans="1:33" ht="17.25" thickBot="1" x14ac:dyDescent="0.35">
      <c r="A44" s="2" t="s">
        <v>293</v>
      </c>
      <c r="B44" s="2" t="s">
        <v>343</v>
      </c>
      <c r="C44" s="1">
        <v>45</v>
      </c>
      <c r="D44" s="1">
        <v>14</v>
      </c>
      <c r="E44" s="1">
        <v>27</v>
      </c>
      <c r="F44" s="84">
        <v>9</v>
      </c>
      <c r="G44" s="84">
        <v>14</v>
      </c>
      <c r="H44" s="84">
        <v>14</v>
      </c>
      <c r="I44" s="84">
        <v>28</v>
      </c>
      <c r="J44" s="84">
        <v>13</v>
      </c>
      <c r="K44" s="84">
        <v>20</v>
      </c>
      <c r="L44" s="84">
        <v>8</v>
      </c>
      <c r="M44" s="1">
        <v>56</v>
      </c>
      <c r="N44" s="87">
        <v>57</v>
      </c>
      <c r="O44" s="84">
        <v>20</v>
      </c>
      <c r="P44" s="84">
        <v>30</v>
      </c>
      <c r="Q44" s="84">
        <v>28</v>
      </c>
      <c r="R44" s="84">
        <v>20</v>
      </c>
      <c r="S44" s="84">
        <v>40</v>
      </c>
      <c r="T44" s="84">
        <v>21</v>
      </c>
      <c r="U44" s="84">
        <v>36</v>
      </c>
      <c r="V44" s="84">
        <v>30</v>
      </c>
    </row>
    <row r="45" spans="1:33" ht="17.25" thickBot="1" x14ac:dyDescent="0.35">
      <c r="A45" s="2" t="s">
        <v>293</v>
      </c>
      <c r="B45" s="2" t="s">
        <v>139</v>
      </c>
      <c r="C45" s="1">
        <v>35</v>
      </c>
      <c r="D45" s="1">
        <v>10</v>
      </c>
      <c r="E45" s="1">
        <v>31</v>
      </c>
      <c r="F45" s="84">
        <v>10</v>
      </c>
      <c r="G45" s="84">
        <v>5</v>
      </c>
      <c r="H45" s="84">
        <v>6</v>
      </c>
      <c r="I45" s="84">
        <v>10</v>
      </c>
      <c r="J45" s="84">
        <v>7</v>
      </c>
      <c r="K45" s="84">
        <v>10</v>
      </c>
      <c r="L45" s="84">
        <v>7</v>
      </c>
      <c r="M45" s="1">
        <v>30</v>
      </c>
      <c r="N45" s="87">
        <v>21</v>
      </c>
      <c r="O45" s="84">
        <v>20</v>
      </c>
      <c r="P45" s="84">
        <v>24</v>
      </c>
      <c r="Q45" s="84">
        <v>20</v>
      </c>
      <c r="R45" s="84">
        <v>15</v>
      </c>
      <c r="S45" s="84">
        <v>20</v>
      </c>
      <c r="T45" s="84">
        <v>20</v>
      </c>
      <c r="U45" s="84">
        <v>29</v>
      </c>
      <c r="V45" s="84">
        <v>6</v>
      </c>
    </row>
    <row r="46" spans="1:33" ht="17.25" thickBot="1" x14ac:dyDescent="0.35">
      <c r="A46" s="2" t="s">
        <v>344</v>
      </c>
      <c r="B46" s="2" t="s">
        <v>345</v>
      </c>
      <c r="C46" s="1">
        <v>10</v>
      </c>
      <c r="D46" s="1">
        <v>6</v>
      </c>
      <c r="E46" s="1">
        <v>15</v>
      </c>
      <c r="F46" s="84">
        <v>5</v>
      </c>
      <c r="G46" s="84">
        <v>8</v>
      </c>
      <c r="H46" s="84">
        <v>8</v>
      </c>
      <c r="I46" s="84">
        <v>18</v>
      </c>
      <c r="J46" s="84">
        <v>3</v>
      </c>
      <c r="K46" s="84">
        <v>13</v>
      </c>
      <c r="L46" s="84"/>
      <c r="M46" s="1">
        <v>10</v>
      </c>
      <c r="N46" s="87"/>
      <c r="O46" s="84">
        <v>13</v>
      </c>
      <c r="P46" s="84">
        <v>23</v>
      </c>
      <c r="Q46" s="84">
        <v>20</v>
      </c>
      <c r="R46" s="84"/>
      <c r="S46" s="84">
        <v>15</v>
      </c>
      <c r="T46" s="84">
        <v>20</v>
      </c>
      <c r="U46" s="84"/>
      <c r="V46" s="84">
        <v>23</v>
      </c>
    </row>
    <row r="47" spans="1:33" ht="17.25" thickBot="1" x14ac:dyDescent="0.35">
      <c r="A47" s="2" t="s">
        <v>184</v>
      </c>
      <c r="B47" s="2" t="s">
        <v>346</v>
      </c>
      <c r="F47" s="84"/>
      <c r="G47" s="84"/>
      <c r="H47" s="84"/>
      <c r="I47" s="84"/>
      <c r="J47" s="84"/>
      <c r="K47" s="84"/>
      <c r="L47" s="84"/>
      <c r="N47" s="87"/>
      <c r="O47" s="84"/>
      <c r="P47" s="84"/>
      <c r="Q47" s="84"/>
      <c r="R47" s="84"/>
      <c r="S47" s="84"/>
      <c r="T47" s="84"/>
      <c r="U47" s="84"/>
      <c r="V47" s="84"/>
    </row>
    <row r="48" spans="1:33" ht="17.25" thickBot="1" x14ac:dyDescent="0.35">
      <c r="A48" s="2" t="s">
        <v>250</v>
      </c>
      <c r="B48" s="2" t="s">
        <v>251</v>
      </c>
      <c r="C48" s="1">
        <v>20</v>
      </c>
      <c r="D48" s="1">
        <v>5</v>
      </c>
      <c r="E48" s="1">
        <v>7</v>
      </c>
      <c r="F48" s="84">
        <v>4</v>
      </c>
      <c r="G48" s="84">
        <v>7</v>
      </c>
      <c r="H48" s="84">
        <v>6</v>
      </c>
      <c r="I48" s="84">
        <v>12</v>
      </c>
      <c r="J48" s="84">
        <v>7</v>
      </c>
      <c r="K48" s="84">
        <v>7</v>
      </c>
      <c r="L48" s="84">
        <v>5</v>
      </c>
      <c r="M48" s="1">
        <v>30</v>
      </c>
      <c r="N48" s="87">
        <v>33</v>
      </c>
      <c r="O48" s="84">
        <v>13</v>
      </c>
      <c r="P48" s="84">
        <v>23</v>
      </c>
      <c r="Q48" s="84">
        <v>18</v>
      </c>
      <c r="R48" s="84">
        <v>25</v>
      </c>
      <c r="S48" s="84">
        <v>20</v>
      </c>
      <c r="T48" s="84">
        <v>21</v>
      </c>
      <c r="U48" s="84">
        <v>29</v>
      </c>
      <c r="V48" s="84">
        <v>23</v>
      </c>
    </row>
    <row r="49" spans="1:22" ht="17.25" thickBot="1" x14ac:dyDescent="0.35">
      <c r="A49" s="2" t="s">
        <v>269</v>
      </c>
      <c r="B49" s="2" t="s">
        <v>270</v>
      </c>
      <c r="C49" s="1">
        <v>35</v>
      </c>
      <c r="D49" s="1">
        <v>5</v>
      </c>
      <c r="E49" s="1">
        <v>13</v>
      </c>
      <c r="F49" s="84">
        <v>4</v>
      </c>
      <c r="G49" s="84">
        <v>8</v>
      </c>
      <c r="H49" s="84">
        <v>8</v>
      </c>
      <c r="I49" s="84">
        <v>18</v>
      </c>
      <c r="J49" s="84">
        <v>3</v>
      </c>
      <c r="K49" s="84">
        <v>10</v>
      </c>
      <c r="L49" s="84">
        <v>10</v>
      </c>
      <c r="M49" s="1">
        <v>40</v>
      </c>
      <c r="N49" s="87">
        <v>55</v>
      </c>
      <c r="O49" s="84">
        <v>18</v>
      </c>
      <c r="P49" s="84">
        <v>7</v>
      </c>
      <c r="Q49" s="84">
        <v>28</v>
      </c>
      <c r="R49" s="84">
        <v>40</v>
      </c>
      <c r="S49" s="84">
        <v>35</v>
      </c>
      <c r="T49" s="84">
        <v>21</v>
      </c>
      <c r="U49" s="84">
        <v>30</v>
      </c>
      <c r="V49" s="84">
        <v>7</v>
      </c>
    </row>
    <row r="50" spans="1:22" ht="17.25" thickBot="1" x14ac:dyDescent="0.35">
      <c r="A50" s="2" t="s">
        <v>331</v>
      </c>
      <c r="B50" s="2" t="s">
        <v>332</v>
      </c>
      <c r="C50" s="1">
        <v>35</v>
      </c>
      <c r="D50" s="1">
        <v>19</v>
      </c>
      <c r="E50" s="1">
        <v>40</v>
      </c>
      <c r="F50" s="84">
        <v>10</v>
      </c>
      <c r="G50" s="84">
        <v>12</v>
      </c>
      <c r="H50" s="84">
        <v>12</v>
      </c>
      <c r="I50" s="84">
        <v>24</v>
      </c>
      <c r="J50" s="84">
        <v>7</v>
      </c>
      <c r="K50" s="84">
        <v>13</v>
      </c>
      <c r="L50" s="84">
        <v>16</v>
      </c>
      <c r="M50" s="1">
        <v>52</v>
      </c>
      <c r="N50" s="87">
        <v>63</v>
      </c>
      <c r="O50" s="84">
        <v>20</v>
      </c>
      <c r="P50" s="84">
        <v>27</v>
      </c>
      <c r="Q50" s="84">
        <v>33</v>
      </c>
      <c r="R50" s="84">
        <v>15</v>
      </c>
      <c r="S50" s="84">
        <v>40</v>
      </c>
      <c r="T50" s="84">
        <v>38</v>
      </c>
      <c r="U50" s="84">
        <v>32</v>
      </c>
      <c r="V50" s="84">
        <v>27</v>
      </c>
    </row>
    <row r="51" spans="1:22" ht="17.25" thickBot="1" x14ac:dyDescent="0.35">
      <c r="A51" s="2" t="s">
        <v>337</v>
      </c>
      <c r="B51" s="2" t="s">
        <v>338</v>
      </c>
      <c r="C51" s="1">
        <v>5</v>
      </c>
      <c r="D51" s="1">
        <v>5</v>
      </c>
      <c r="E51" s="1">
        <v>7</v>
      </c>
      <c r="F51" s="84">
        <v>5</v>
      </c>
      <c r="G51" s="84">
        <v>7</v>
      </c>
      <c r="H51" s="84">
        <v>7</v>
      </c>
      <c r="I51" s="84">
        <v>14</v>
      </c>
      <c r="J51" s="84"/>
      <c r="K51" s="84"/>
      <c r="L51" s="84">
        <v>4</v>
      </c>
      <c r="M51" s="1">
        <v>28</v>
      </c>
      <c r="N51" s="87">
        <v>52</v>
      </c>
      <c r="O51" s="84">
        <v>15</v>
      </c>
      <c r="P51" s="84">
        <v>23</v>
      </c>
      <c r="Q51" s="84">
        <v>25</v>
      </c>
      <c r="R51" s="84">
        <v>35</v>
      </c>
      <c r="S51" s="84">
        <v>25</v>
      </c>
      <c r="T51" s="84">
        <v>29</v>
      </c>
      <c r="U51" s="84">
        <v>32</v>
      </c>
      <c r="V51" s="84">
        <v>23</v>
      </c>
    </row>
    <row r="52" spans="1:22" ht="17.25" thickBot="1" x14ac:dyDescent="0.35">
      <c r="A52" s="2" t="s">
        <v>304</v>
      </c>
      <c r="B52" s="2" t="s">
        <v>305</v>
      </c>
      <c r="C52" s="1">
        <v>35</v>
      </c>
      <c r="D52" s="1">
        <v>10</v>
      </c>
      <c r="E52" s="1">
        <v>13</v>
      </c>
      <c r="F52" s="84">
        <v>10</v>
      </c>
      <c r="G52" s="84">
        <v>12</v>
      </c>
      <c r="H52" s="84">
        <v>12</v>
      </c>
      <c r="I52" s="84">
        <v>24</v>
      </c>
      <c r="J52" s="84">
        <v>13</v>
      </c>
      <c r="K52" s="84">
        <v>20</v>
      </c>
      <c r="L52" s="84">
        <v>9</v>
      </c>
      <c r="M52" s="1">
        <v>46</v>
      </c>
      <c r="N52" s="87">
        <v>68</v>
      </c>
      <c r="O52" s="84">
        <v>15</v>
      </c>
      <c r="P52" s="84">
        <v>1</v>
      </c>
      <c r="Q52" s="84">
        <v>28</v>
      </c>
      <c r="R52" s="84">
        <v>25</v>
      </c>
      <c r="S52" s="84">
        <v>30</v>
      </c>
      <c r="T52" s="84"/>
      <c r="U52" s="84">
        <v>28</v>
      </c>
      <c r="V52" s="84">
        <v>1</v>
      </c>
    </row>
    <row r="53" spans="1:22" ht="17.25" thickBot="1" x14ac:dyDescent="0.35">
      <c r="A53" s="2" t="s">
        <v>281</v>
      </c>
      <c r="B53" s="2" t="s">
        <v>282</v>
      </c>
      <c r="C53" s="1">
        <v>20</v>
      </c>
      <c r="D53" s="1">
        <v>6</v>
      </c>
      <c r="E53" s="1">
        <v>13</v>
      </c>
      <c r="F53" s="84">
        <v>6</v>
      </c>
      <c r="G53" s="84">
        <v>10</v>
      </c>
      <c r="H53" s="84">
        <v>10</v>
      </c>
      <c r="I53" s="84">
        <v>18</v>
      </c>
      <c r="J53" s="84">
        <v>1</v>
      </c>
      <c r="K53" s="84">
        <v>1</v>
      </c>
      <c r="L53" s="84">
        <v>7</v>
      </c>
      <c r="M53" s="1">
        <v>30</v>
      </c>
      <c r="N53" s="87">
        <v>26</v>
      </c>
      <c r="O53" s="84">
        <v>15</v>
      </c>
      <c r="P53" s="84">
        <v>20</v>
      </c>
      <c r="Q53" s="84">
        <v>20</v>
      </c>
      <c r="R53" s="84">
        <v>10</v>
      </c>
      <c r="S53" s="84">
        <v>25</v>
      </c>
      <c r="T53" s="84">
        <v>14</v>
      </c>
      <c r="U53" s="84">
        <v>20</v>
      </c>
      <c r="V53" s="84">
        <v>20</v>
      </c>
    </row>
    <row r="54" spans="1:22" ht="17.25" thickBot="1" x14ac:dyDescent="0.35">
      <c r="A54" s="2" t="s">
        <v>347</v>
      </c>
      <c r="B54" s="2" t="s">
        <v>348</v>
      </c>
      <c r="C54" s="1">
        <v>20</v>
      </c>
      <c r="D54" s="1">
        <v>10</v>
      </c>
      <c r="E54" s="1">
        <v>5</v>
      </c>
      <c r="F54" s="84">
        <v>10</v>
      </c>
      <c r="G54" s="84">
        <v>10</v>
      </c>
      <c r="H54" s="84">
        <v>10</v>
      </c>
      <c r="I54" s="84">
        <v>22</v>
      </c>
      <c r="J54" s="84">
        <v>3</v>
      </c>
      <c r="K54" s="84">
        <v>3</v>
      </c>
      <c r="L54" s="84">
        <v>4</v>
      </c>
      <c r="M54" s="1">
        <v>21</v>
      </c>
      <c r="N54" s="87">
        <v>21</v>
      </c>
      <c r="O54" s="84">
        <v>10</v>
      </c>
      <c r="P54" s="84">
        <v>27</v>
      </c>
      <c r="Q54" s="84">
        <v>5</v>
      </c>
      <c r="R54" s="84">
        <v>30</v>
      </c>
      <c r="S54" s="84"/>
      <c r="T54" s="84"/>
      <c r="U54" s="84">
        <v>11</v>
      </c>
      <c r="V54" s="84">
        <v>27</v>
      </c>
    </row>
    <row r="55" spans="1:22" ht="17.25" thickBot="1" x14ac:dyDescent="0.35">
      <c r="A55" s="2" t="s">
        <v>237</v>
      </c>
      <c r="B55" s="2" t="s">
        <v>238</v>
      </c>
      <c r="C55" s="1">
        <v>40</v>
      </c>
      <c r="D55" s="1">
        <v>2</v>
      </c>
      <c r="E55" s="1">
        <v>7</v>
      </c>
      <c r="F55" s="84">
        <v>2</v>
      </c>
      <c r="G55" s="84">
        <v>5</v>
      </c>
      <c r="H55" s="84">
        <v>5</v>
      </c>
      <c r="I55" s="84">
        <v>10</v>
      </c>
      <c r="J55" s="84">
        <v>7</v>
      </c>
      <c r="K55" s="84">
        <v>13</v>
      </c>
      <c r="L55" s="84">
        <v>3</v>
      </c>
      <c r="M55" s="1">
        <v>38</v>
      </c>
      <c r="N55" s="87">
        <v>28</v>
      </c>
      <c r="O55" s="84">
        <v>10</v>
      </c>
      <c r="P55" s="84">
        <v>1</v>
      </c>
      <c r="Q55" s="84">
        <v>10</v>
      </c>
      <c r="R55" s="84"/>
      <c r="S55" s="84">
        <v>20</v>
      </c>
      <c r="T55" s="84">
        <v>24</v>
      </c>
      <c r="U55" s="84">
        <v>22</v>
      </c>
      <c r="V55" s="84" t="s">
        <v>357</v>
      </c>
    </row>
    <row r="56" spans="1:22" ht="17.25" thickBot="1" x14ac:dyDescent="0.35">
      <c r="A56" s="2" t="s">
        <v>349</v>
      </c>
      <c r="B56" s="2" t="s">
        <v>350</v>
      </c>
      <c r="F56" s="84"/>
      <c r="G56" s="84"/>
      <c r="H56" s="84"/>
      <c r="I56" s="84"/>
      <c r="J56" s="84"/>
      <c r="K56" s="84"/>
      <c r="L56" s="84"/>
      <c r="N56" s="87"/>
      <c r="O56" s="84"/>
      <c r="P56" s="84"/>
      <c r="Q56" s="84"/>
      <c r="R56" s="84">
        <v>30</v>
      </c>
      <c r="S56" s="84"/>
      <c r="T56" s="84"/>
      <c r="U56" s="84"/>
      <c r="V56" s="84"/>
    </row>
    <row r="57" spans="1:22" ht="17.25" thickBot="1" x14ac:dyDescent="0.35">
      <c r="A57" s="2" t="s">
        <v>256</v>
      </c>
      <c r="B57" s="2" t="s">
        <v>257</v>
      </c>
      <c r="C57" s="1">
        <v>50</v>
      </c>
      <c r="D57" s="1">
        <v>10</v>
      </c>
      <c r="E57" s="1">
        <v>28</v>
      </c>
      <c r="F57" s="84">
        <v>10</v>
      </c>
      <c r="G57" s="84">
        <v>19</v>
      </c>
      <c r="H57" s="84">
        <v>18</v>
      </c>
      <c r="I57" s="84">
        <v>38</v>
      </c>
      <c r="J57" s="84">
        <v>13</v>
      </c>
      <c r="K57" s="84">
        <v>10</v>
      </c>
      <c r="L57" s="84">
        <v>15</v>
      </c>
      <c r="M57" s="1">
        <v>48</v>
      </c>
      <c r="N57" s="87">
        <v>84</v>
      </c>
      <c r="O57" s="84">
        <v>23</v>
      </c>
      <c r="P57" s="84">
        <v>26</v>
      </c>
      <c r="Q57" s="84">
        <v>32</v>
      </c>
      <c r="R57" s="84">
        <v>30</v>
      </c>
      <c r="S57" s="84">
        <v>35</v>
      </c>
      <c r="T57" s="84">
        <v>15</v>
      </c>
      <c r="U57" s="84">
        <v>28</v>
      </c>
      <c r="V57" s="84">
        <v>26</v>
      </c>
    </row>
    <row r="58" spans="1:22" ht="17.25" thickBot="1" x14ac:dyDescent="0.35">
      <c r="A58" s="2" t="s">
        <v>297</v>
      </c>
      <c r="B58" s="2" t="s">
        <v>254</v>
      </c>
      <c r="C58" s="1">
        <v>12</v>
      </c>
      <c r="D58" s="1">
        <v>5</v>
      </c>
      <c r="E58" s="1">
        <v>7</v>
      </c>
      <c r="F58" s="84">
        <v>5</v>
      </c>
      <c r="G58" s="84">
        <v>15</v>
      </c>
      <c r="H58" s="84">
        <v>16</v>
      </c>
      <c r="I58" s="84">
        <v>30</v>
      </c>
      <c r="J58" s="84">
        <v>10</v>
      </c>
      <c r="K58" s="84">
        <v>7</v>
      </c>
      <c r="L58" s="84">
        <v>8</v>
      </c>
      <c r="M58" s="1">
        <v>25</v>
      </c>
      <c r="N58" s="87">
        <v>44</v>
      </c>
      <c r="O58" s="84">
        <v>23</v>
      </c>
      <c r="P58" s="84">
        <v>26</v>
      </c>
      <c r="Q58" s="84">
        <v>21</v>
      </c>
      <c r="R58" s="84">
        <v>15</v>
      </c>
      <c r="S58" s="84">
        <v>28</v>
      </c>
      <c r="T58" s="84">
        <v>38</v>
      </c>
      <c r="U58" s="84">
        <v>32</v>
      </c>
      <c r="V58" s="84">
        <v>26</v>
      </c>
    </row>
    <row r="59" spans="1:22" ht="17.25" thickBot="1" x14ac:dyDescent="0.35">
      <c r="A59" s="2" t="s">
        <v>212</v>
      </c>
      <c r="B59" s="2" t="s">
        <v>283</v>
      </c>
      <c r="C59" s="1">
        <v>35</v>
      </c>
      <c r="D59" s="1">
        <v>5</v>
      </c>
      <c r="E59" s="1">
        <v>13</v>
      </c>
      <c r="F59" s="84">
        <v>5</v>
      </c>
      <c r="G59" s="84">
        <v>9</v>
      </c>
      <c r="H59" s="84">
        <v>9</v>
      </c>
      <c r="I59" s="84">
        <v>18</v>
      </c>
      <c r="J59" s="84">
        <v>13</v>
      </c>
      <c r="K59" s="84">
        <v>7</v>
      </c>
      <c r="L59" s="84">
        <v>13</v>
      </c>
      <c r="M59" s="1">
        <v>27</v>
      </c>
      <c r="N59" s="87">
        <v>55</v>
      </c>
      <c r="O59" s="84">
        <v>20</v>
      </c>
      <c r="P59" s="84">
        <v>27</v>
      </c>
      <c r="Q59" s="84">
        <v>25</v>
      </c>
      <c r="R59" s="84">
        <v>35</v>
      </c>
      <c r="S59" s="84">
        <v>25</v>
      </c>
      <c r="T59" s="84">
        <v>16</v>
      </c>
      <c r="U59" s="84">
        <v>30</v>
      </c>
      <c r="V59" s="84">
        <v>27</v>
      </c>
    </row>
    <row r="60" spans="1:22" ht="17.25" thickBot="1" x14ac:dyDescent="0.35">
      <c r="A60" s="2" t="s">
        <v>286</v>
      </c>
      <c r="B60" s="2" t="s">
        <v>287</v>
      </c>
      <c r="C60" s="1">
        <v>20</v>
      </c>
      <c r="D60" s="1">
        <v>6</v>
      </c>
      <c r="E60" s="1">
        <v>37</v>
      </c>
      <c r="F60" s="84">
        <v>6</v>
      </c>
      <c r="G60" s="84">
        <v>7</v>
      </c>
      <c r="H60" s="84">
        <v>7</v>
      </c>
      <c r="I60" s="84">
        <v>12</v>
      </c>
      <c r="J60" s="84">
        <v>7</v>
      </c>
      <c r="K60" s="84">
        <v>17</v>
      </c>
      <c r="L60" s="84">
        <v>7</v>
      </c>
      <c r="M60" s="1">
        <v>44</v>
      </c>
      <c r="N60" s="87">
        <v>67</v>
      </c>
      <c r="O60" s="84">
        <v>15</v>
      </c>
      <c r="P60" s="84">
        <v>28</v>
      </c>
      <c r="Q60" s="84">
        <v>23</v>
      </c>
      <c r="R60" s="84">
        <v>35</v>
      </c>
      <c r="S60" s="84">
        <v>30</v>
      </c>
      <c r="T60" s="84">
        <v>30</v>
      </c>
      <c r="U60" s="84">
        <v>16</v>
      </c>
      <c r="V60" s="84">
        <v>28</v>
      </c>
    </row>
    <row r="61" spans="1:22" ht="17.25" thickBot="1" x14ac:dyDescent="0.35">
      <c r="A61" s="2" t="s">
        <v>302</v>
      </c>
      <c r="B61" s="2" t="s">
        <v>303</v>
      </c>
      <c r="C61" s="1">
        <v>22</v>
      </c>
      <c r="D61" s="1">
        <v>5</v>
      </c>
      <c r="E61" s="1">
        <v>23</v>
      </c>
      <c r="F61" s="84">
        <v>5</v>
      </c>
      <c r="G61" s="84">
        <v>9</v>
      </c>
      <c r="H61" s="84">
        <v>9</v>
      </c>
      <c r="I61" s="84">
        <v>20</v>
      </c>
      <c r="J61" s="84">
        <v>7</v>
      </c>
      <c r="K61" s="84">
        <v>10</v>
      </c>
      <c r="L61" s="84">
        <v>6</v>
      </c>
      <c r="M61" s="1">
        <v>21</v>
      </c>
      <c r="N61" s="87">
        <v>48</v>
      </c>
      <c r="O61" s="84">
        <v>12</v>
      </c>
      <c r="P61" s="84">
        <v>27</v>
      </c>
      <c r="Q61" s="84">
        <v>20</v>
      </c>
      <c r="R61" s="84">
        <v>15</v>
      </c>
      <c r="S61" s="84">
        <v>28</v>
      </c>
      <c r="T61" s="84">
        <v>16</v>
      </c>
      <c r="U61" s="84">
        <v>32</v>
      </c>
      <c r="V61" s="84">
        <v>27</v>
      </c>
    </row>
    <row r="62" spans="1:22" ht="17.25" thickBot="1" x14ac:dyDescent="0.35">
      <c r="A62" s="2" t="s">
        <v>262</v>
      </c>
      <c r="B62" s="2" t="s">
        <v>52</v>
      </c>
      <c r="C62" s="1">
        <v>40</v>
      </c>
      <c r="D62" s="1">
        <v>10</v>
      </c>
      <c r="E62" s="1">
        <v>27</v>
      </c>
      <c r="F62" s="84">
        <v>10</v>
      </c>
      <c r="G62" s="84">
        <v>13</v>
      </c>
      <c r="H62" s="84">
        <v>13</v>
      </c>
      <c r="I62" s="84">
        <v>26</v>
      </c>
      <c r="J62" s="84">
        <v>13</v>
      </c>
      <c r="K62" s="84">
        <v>10</v>
      </c>
      <c r="L62" s="84">
        <v>10</v>
      </c>
      <c r="M62" s="1">
        <v>51</v>
      </c>
      <c r="N62" s="87">
        <v>72</v>
      </c>
      <c r="O62" s="84">
        <v>20</v>
      </c>
      <c r="P62" s="84">
        <v>20</v>
      </c>
      <c r="Q62" s="84">
        <v>31</v>
      </c>
      <c r="R62" s="84">
        <v>40</v>
      </c>
      <c r="S62" s="84">
        <v>40</v>
      </c>
      <c r="T62" s="84"/>
      <c r="U62" s="84">
        <v>32</v>
      </c>
      <c r="V62" s="84">
        <v>20</v>
      </c>
    </row>
    <row r="63" spans="1:22" ht="17.25" thickBot="1" x14ac:dyDescent="0.35">
      <c r="A63" s="2" t="s">
        <v>321</v>
      </c>
      <c r="B63" s="2" t="s">
        <v>322</v>
      </c>
      <c r="C63" s="1">
        <v>25</v>
      </c>
      <c r="D63" s="1">
        <v>2</v>
      </c>
      <c r="E63" s="1">
        <v>23</v>
      </c>
      <c r="F63" s="84">
        <v>2</v>
      </c>
      <c r="G63" s="84">
        <v>4</v>
      </c>
      <c r="H63" s="84">
        <v>4</v>
      </c>
      <c r="I63" s="84">
        <v>10</v>
      </c>
      <c r="J63" s="84">
        <v>3</v>
      </c>
      <c r="K63" s="84">
        <v>7</v>
      </c>
      <c r="L63" s="84">
        <v>2</v>
      </c>
      <c r="M63" s="1">
        <v>25</v>
      </c>
      <c r="N63" s="87">
        <v>4</v>
      </c>
      <c r="O63" s="84">
        <v>19</v>
      </c>
      <c r="P63" s="84">
        <v>26</v>
      </c>
      <c r="Q63" s="84">
        <v>17</v>
      </c>
      <c r="R63" s="84">
        <v>25</v>
      </c>
      <c r="S63" s="84">
        <v>25</v>
      </c>
      <c r="T63" s="84">
        <v>37</v>
      </c>
      <c r="U63" s="84">
        <v>20</v>
      </c>
      <c r="V63" s="84">
        <v>26</v>
      </c>
    </row>
    <row r="64" spans="1:22" ht="17.25" thickBot="1" x14ac:dyDescent="0.35">
      <c r="A64" s="2" t="s">
        <v>321</v>
      </c>
      <c r="B64" s="2" t="s">
        <v>351</v>
      </c>
      <c r="C64" s="1">
        <v>15</v>
      </c>
      <c r="D64" s="1">
        <v>5</v>
      </c>
      <c r="E64" s="1">
        <v>15</v>
      </c>
      <c r="F64" s="84">
        <v>5</v>
      </c>
      <c r="G64" s="84">
        <v>4</v>
      </c>
      <c r="H64" s="84">
        <v>5</v>
      </c>
      <c r="I64" s="84">
        <v>10</v>
      </c>
      <c r="J64" s="84">
        <v>3</v>
      </c>
      <c r="K64" s="84">
        <v>1</v>
      </c>
      <c r="L64" s="84">
        <v>6</v>
      </c>
      <c r="M64" s="1">
        <v>11</v>
      </c>
      <c r="N64" s="87">
        <v>23</v>
      </c>
      <c r="O64" s="84">
        <v>13</v>
      </c>
      <c r="P64" s="84">
        <v>20</v>
      </c>
      <c r="Q64" s="84">
        <v>21</v>
      </c>
      <c r="R64" s="84">
        <v>20</v>
      </c>
      <c r="S64" s="84">
        <v>25</v>
      </c>
      <c r="T64" s="84">
        <v>17</v>
      </c>
      <c r="U64" s="84">
        <v>16</v>
      </c>
      <c r="V64" s="84">
        <v>20</v>
      </c>
    </row>
    <row r="65" spans="1:22" ht="17.25" thickBot="1" x14ac:dyDescent="0.35">
      <c r="A65" s="2" t="s">
        <v>352</v>
      </c>
      <c r="B65" s="2" t="s">
        <v>353</v>
      </c>
      <c r="F65" s="84"/>
      <c r="G65" s="84"/>
      <c r="H65" s="84"/>
      <c r="I65" s="84"/>
      <c r="J65" s="84"/>
      <c r="K65" s="84"/>
      <c r="L65" s="84">
        <v>18</v>
      </c>
      <c r="N65" s="87"/>
      <c r="O65" s="84"/>
      <c r="P65" s="84"/>
      <c r="Q65" s="84"/>
      <c r="R65" s="84"/>
      <c r="S65" s="84"/>
      <c r="T65" s="84"/>
      <c r="U65" s="84"/>
      <c r="V65" s="84"/>
    </row>
    <row r="66" spans="1:22" ht="17.25" thickBot="1" x14ac:dyDescent="0.35">
      <c r="A66" s="2" t="s">
        <v>354</v>
      </c>
      <c r="B66" s="2" t="s">
        <v>355</v>
      </c>
      <c r="C66" s="1">
        <v>50</v>
      </c>
      <c r="D66" s="1">
        <v>19</v>
      </c>
      <c r="E66" s="1">
        <v>17</v>
      </c>
      <c r="F66" s="84">
        <v>19</v>
      </c>
      <c r="G66" s="84">
        <v>13</v>
      </c>
      <c r="H66" s="84">
        <v>13</v>
      </c>
      <c r="I66" s="84">
        <v>28</v>
      </c>
      <c r="J66" s="84">
        <v>10</v>
      </c>
      <c r="K66" s="84">
        <v>3</v>
      </c>
      <c r="L66" s="84">
        <v>14</v>
      </c>
      <c r="M66" s="1">
        <v>47</v>
      </c>
      <c r="N66" s="87">
        <v>78</v>
      </c>
      <c r="O66" s="84">
        <v>20</v>
      </c>
      <c r="P66" s="84">
        <v>27</v>
      </c>
      <c r="Q66" s="84">
        <v>29</v>
      </c>
      <c r="R66" s="84">
        <v>25</v>
      </c>
      <c r="S66" s="84">
        <v>35</v>
      </c>
      <c r="T66" s="84">
        <v>39</v>
      </c>
      <c r="U66" s="84">
        <v>32</v>
      </c>
      <c r="V66" s="84">
        <v>27</v>
      </c>
    </row>
    <row r="67" spans="1:22" ht="17.25" thickBot="1" x14ac:dyDescent="0.35">
      <c r="A67" s="2" t="s">
        <v>333</v>
      </c>
      <c r="B67" s="2" t="s">
        <v>334</v>
      </c>
      <c r="C67" s="1">
        <v>20</v>
      </c>
      <c r="D67" s="1">
        <v>5</v>
      </c>
      <c r="E67" s="1">
        <v>17</v>
      </c>
      <c r="F67" s="84">
        <v>5</v>
      </c>
      <c r="G67" s="84">
        <v>10</v>
      </c>
      <c r="H67" s="84">
        <v>10</v>
      </c>
      <c r="I67" s="84">
        <v>20</v>
      </c>
      <c r="J67" s="84">
        <v>7</v>
      </c>
      <c r="K67" s="84">
        <v>13</v>
      </c>
      <c r="L67" s="84">
        <v>10</v>
      </c>
      <c r="M67" s="1">
        <v>51</v>
      </c>
      <c r="N67" s="87">
        <v>75</v>
      </c>
      <c r="O67" s="84">
        <v>25</v>
      </c>
      <c r="P67" s="84">
        <v>27</v>
      </c>
      <c r="Q67" s="84">
        <v>28</v>
      </c>
      <c r="R67" s="84">
        <v>40</v>
      </c>
      <c r="S67" s="84">
        <v>30</v>
      </c>
      <c r="T67" s="84">
        <v>16</v>
      </c>
      <c r="U67" s="84">
        <v>33</v>
      </c>
      <c r="V67" s="84">
        <v>27</v>
      </c>
    </row>
    <row r="68" spans="1:22" ht="17.25" thickBot="1" x14ac:dyDescent="0.35">
      <c r="A68" s="2" t="s">
        <v>242</v>
      </c>
      <c r="B68" s="2" t="s">
        <v>243</v>
      </c>
      <c r="C68" s="1">
        <v>25</v>
      </c>
      <c r="D68" s="1">
        <v>5</v>
      </c>
      <c r="E68" s="1">
        <v>7</v>
      </c>
      <c r="F68" s="84">
        <v>5</v>
      </c>
      <c r="G68" s="84">
        <v>4</v>
      </c>
      <c r="H68" s="84">
        <v>3</v>
      </c>
      <c r="I68" s="84">
        <v>8</v>
      </c>
      <c r="J68" s="84">
        <v>3</v>
      </c>
      <c r="K68" s="84">
        <v>7</v>
      </c>
      <c r="L68" s="84"/>
      <c r="M68" s="1">
        <v>44</v>
      </c>
      <c r="N68" s="87">
        <v>55</v>
      </c>
      <c r="O68" s="84">
        <v>18</v>
      </c>
      <c r="P68" s="84">
        <v>26</v>
      </c>
      <c r="Q68" s="84">
        <v>24</v>
      </c>
      <c r="R68" s="84">
        <v>25</v>
      </c>
      <c r="S68" s="84">
        <v>15</v>
      </c>
      <c r="T68" s="84">
        <v>14</v>
      </c>
      <c r="U68" s="84">
        <v>20</v>
      </c>
      <c r="V68" s="84">
        <v>26</v>
      </c>
    </row>
    <row r="69" spans="1:22" ht="17.25" thickBot="1" x14ac:dyDescent="0.35">
      <c r="A69" s="2" t="s">
        <v>356</v>
      </c>
      <c r="B69" s="2" t="s">
        <v>239</v>
      </c>
      <c r="F69" s="84"/>
      <c r="G69" s="84"/>
      <c r="H69" s="84"/>
      <c r="I69" s="84"/>
      <c r="J69" s="84"/>
      <c r="K69" s="84"/>
      <c r="L69" s="84"/>
      <c r="N69" s="87"/>
      <c r="O69" s="84"/>
      <c r="P69" s="84"/>
      <c r="Q69" s="84"/>
      <c r="R69" s="84"/>
      <c r="S69" s="84"/>
      <c r="T69" s="84"/>
      <c r="U69" s="84"/>
      <c r="V69" s="84"/>
    </row>
    <row r="70" spans="1:22" ht="17.25" thickBot="1" x14ac:dyDescent="0.35">
      <c r="A70" s="2" t="s">
        <v>235</v>
      </c>
      <c r="B70" s="2" t="s">
        <v>236</v>
      </c>
      <c r="C70" s="1">
        <v>25</v>
      </c>
      <c r="D70" s="1">
        <v>8</v>
      </c>
      <c r="E70" s="1">
        <v>15</v>
      </c>
      <c r="F70" s="84">
        <v>8</v>
      </c>
      <c r="G70" s="84">
        <v>5</v>
      </c>
      <c r="H70" s="84">
        <v>5</v>
      </c>
      <c r="I70" s="84">
        <v>12</v>
      </c>
      <c r="J70" s="84">
        <v>10</v>
      </c>
      <c r="K70" s="84">
        <v>10</v>
      </c>
      <c r="L70" s="84">
        <v>12</v>
      </c>
      <c r="M70" s="1">
        <v>36</v>
      </c>
      <c r="N70" s="87">
        <v>30</v>
      </c>
      <c r="O70" s="84">
        <v>15</v>
      </c>
      <c r="P70" s="84">
        <v>27</v>
      </c>
      <c r="Q70" s="84">
        <v>27</v>
      </c>
      <c r="R70" s="84">
        <v>25</v>
      </c>
      <c r="S70" s="84">
        <v>35</v>
      </c>
      <c r="T70" s="84">
        <v>16</v>
      </c>
      <c r="U70" s="84">
        <v>28</v>
      </c>
      <c r="V70" s="84">
        <v>27</v>
      </c>
    </row>
    <row r="71" spans="1:22" ht="17.25" thickBot="1" x14ac:dyDescent="0.35">
      <c r="A71" s="2" t="s">
        <v>257</v>
      </c>
      <c r="B71" s="2" t="s">
        <v>295</v>
      </c>
      <c r="C71" s="1">
        <v>15</v>
      </c>
      <c r="D71" s="1">
        <v>2</v>
      </c>
      <c r="E71" s="1">
        <v>21</v>
      </c>
      <c r="F71" s="84">
        <v>2</v>
      </c>
      <c r="G71" s="84">
        <v>17</v>
      </c>
      <c r="H71" s="84">
        <v>16</v>
      </c>
      <c r="I71" s="84">
        <v>32</v>
      </c>
      <c r="J71" s="84">
        <v>20</v>
      </c>
      <c r="K71" s="84">
        <v>3</v>
      </c>
      <c r="L71" s="84">
        <v>20</v>
      </c>
      <c r="M71" s="1">
        <v>56</v>
      </c>
      <c r="N71" s="87">
        <v>68</v>
      </c>
      <c r="O71" s="84">
        <v>18</v>
      </c>
      <c r="P71" s="84">
        <v>26</v>
      </c>
      <c r="Q71" s="84">
        <v>31</v>
      </c>
      <c r="R71" s="84">
        <v>40</v>
      </c>
      <c r="S71" s="84">
        <v>30</v>
      </c>
      <c r="T71" s="84">
        <v>15</v>
      </c>
      <c r="U71" s="84">
        <v>32</v>
      </c>
      <c r="V71" s="84">
        <v>26</v>
      </c>
    </row>
    <row r="72" spans="1:22" ht="17.25" thickBot="1" x14ac:dyDescent="0.35">
      <c r="A72" s="2" t="s">
        <v>232</v>
      </c>
      <c r="B72" s="2" t="s">
        <v>233</v>
      </c>
      <c r="C72" s="1">
        <v>5</v>
      </c>
      <c r="D72" s="1">
        <v>11</v>
      </c>
      <c r="E72" s="1">
        <v>11</v>
      </c>
      <c r="F72" s="84">
        <v>11</v>
      </c>
      <c r="G72" s="84">
        <v>11</v>
      </c>
      <c r="H72" s="84">
        <v>11</v>
      </c>
      <c r="I72" s="84">
        <v>22</v>
      </c>
      <c r="J72" s="84">
        <v>10</v>
      </c>
      <c r="K72" s="84">
        <v>10</v>
      </c>
      <c r="L72" s="84">
        <v>8</v>
      </c>
      <c r="M72" s="1">
        <v>30</v>
      </c>
      <c r="N72" s="87">
        <v>45</v>
      </c>
      <c r="O72" s="84">
        <v>12</v>
      </c>
      <c r="P72" s="84">
        <v>15</v>
      </c>
      <c r="Q72" s="84">
        <v>22</v>
      </c>
      <c r="R72" s="84">
        <v>20</v>
      </c>
      <c r="S72" s="84">
        <v>30</v>
      </c>
      <c r="T72" s="84"/>
      <c r="U72" s="84">
        <v>32</v>
      </c>
      <c r="V72" s="84">
        <v>28</v>
      </c>
    </row>
    <row r="73" spans="1:22" ht="17.25" thickBot="1" x14ac:dyDescent="0.35">
      <c r="A73" s="2" t="s">
        <v>288</v>
      </c>
      <c r="B73" s="2" t="s">
        <v>10</v>
      </c>
      <c r="C73" s="1">
        <v>20</v>
      </c>
      <c r="D73" s="1">
        <v>8</v>
      </c>
      <c r="E73" s="1">
        <v>15</v>
      </c>
      <c r="F73" s="84">
        <v>8</v>
      </c>
      <c r="G73" s="84">
        <v>3</v>
      </c>
      <c r="H73" s="84">
        <v>3</v>
      </c>
      <c r="I73" s="84">
        <v>8</v>
      </c>
      <c r="J73" s="84">
        <v>3</v>
      </c>
      <c r="K73" s="84">
        <v>7</v>
      </c>
      <c r="L73" s="84">
        <v>1</v>
      </c>
      <c r="M73" s="1">
        <v>25</v>
      </c>
      <c r="N73" s="87">
        <v>22</v>
      </c>
      <c r="O73" s="84">
        <v>10</v>
      </c>
      <c r="P73" s="84">
        <v>14</v>
      </c>
      <c r="Q73" s="84">
        <v>12</v>
      </c>
      <c r="R73" s="84">
        <v>25</v>
      </c>
      <c r="S73" s="84">
        <v>25</v>
      </c>
      <c r="T73" s="84">
        <v>16</v>
      </c>
      <c r="U73" s="84">
        <v>26</v>
      </c>
      <c r="V73" s="84">
        <v>26</v>
      </c>
    </row>
    <row r="74" spans="1:22" ht="17.25" thickBot="1" x14ac:dyDescent="0.35">
      <c r="A74" s="2" t="s">
        <v>313</v>
      </c>
      <c r="B74" s="2" t="s">
        <v>314</v>
      </c>
      <c r="C74" s="1">
        <v>35</v>
      </c>
      <c r="D74" s="1">
        <v>13</v>
      </c>
      <c r="E74" s="1">
        <v>11</v>
      </c>
      <c r="F74" s="84">
        <v>13</v>
      </c>
      <c r="G74" s="84">
        <v>13</v>
      </c>
      <c r="H74" s="84">
        <v>14</v>
      </c>
      <c r="I74" s="84">
        <v>26</v>
      </c>
      <c r="J74" s="84">
        <v>13</v>
      </c>
      <c r="K74" s="84">
        <v>10</v>
      </c>
      <c r="L74" s="84">
        <v>10</v>
      </c>
      <c r="M74" s="1">
        <v>26</v>
      </c>
      <c r="N74" s="87">
        <v>55</v>
      </c>
      <c r="O74" s="84">
        <v>25</v>
      </c>
      <c r="P74" s="84">
        <v>10</v>
      </c>
      <c r="Q74" s="84">
        <v>22</v>
      </c>
      <c r="R74" s="84">
        <v>25</v>
      </c>
      <c r="S74" s="84">
        <v>20</v>
      </c>
      <c r="T74" s="84">
        <v>15</v>
      </c>
      <c r="U74" s="84">
        <v>20</v>
      </c>
      <c r="V74" s="84">
        <v>10</v>
      </c>
    </row>
    <row r="75" spans="1:22" ht="17.25" thickBot="1" x14ac:dyDescent="0.35">
      <c r="A75" s="2" t="s">
        <v>227</v>
      </c>
      <c r="B75" s="2" t="s">
        <v>228</v>
      </c>
      <c r="F75" s="84"/>
      <c r="G75" s="84"/>
      <c r="H75" s="84"/>
      <c r="I75" s="84"/>
      <c r="J75" s="84"/>
      <c r="K75" s="84"/>
      <c r="L75" s="84"/>
      <c r="N75" s="87"/>
      <c r="O75" s="84"/>
      <c r="P75" s="84"/>
      <c r="Q75" s="84"/>
      <c r="R75" s="84"/>
      <c r="S75" s="84"/>
      <c r="T75" s="84"/>
      <c r="U75" s="84"/>
      <c r="V75" s="84"/>
    </row>
    <row r="76" spans="1:22" ht="17.25" thickBot="1" x14ac:dyDescent="0.35">
      <c r="A76" s="2" t="s">
        <v>229</v>
      </c>
      <c r="B76" s="2" t="s">
        <v>230</v>
      </c>
      <c r="F76" s="84"/>
      <c r="G76" s="84"/>
      <c r="H76" s="84"/>
      <c r="I76" s="84"/>
      <c r="J76" s="84"/>
      <c r="K76" s="84"/>
      <c r="L76" s="84"/>
      <c r="N76" s="87"/>
      <c r="O76" s="84"/>
      <c r="P76" s="84"/>
      <c r="Q76" s="84"/>
      <c r="R76" s="84"/>
      <c r="S76" s="84"/>
      <c r="T76" s="84"/>
      <c r="U76" s="84"/>
      <c r="V76" s="84"/>
    </row>
  </sheetData>
  <mergeCells count="1">
    <mergeCell ref="B1:W1"/>
  </mergeCells>
  <conditionalFormatting sqref="C4:C76">
    <cfRule type="cellIs" dxfId="32" priority="8" operator="lessThan">
      <formula>40</formula>
    </cfRule>
  </conditionalFormatting>
  <conditionalFormatting sqref="D4:D76">
    <cfRule type="cellIs" dxfId="31" priority="7" operator="lessThan">
      <formula>10</formula>
    </cfRule>
  </conditionalFormatting>
  <conditionalFormatting sqref="E4:E76">
    <cfRule type="cellIs" dxfId="30" priority="6" operator="lessThan">
      <formula>20</formula>
    </cfRule>
  </conditionalFormatting>
  <conditionalFormatting sqref="F4:L76">
    <cfRule type="cellIs" dxfId="29" priority="5" operator="lessThan">
      <formula>10</formula>
    </cfRule>
  </conditionalFormatting>
  <conditionalFormatting sqref="M4:M76">
    <cfRule type="cellIs" dxfId="28" priority="4" operator="lessThan">
      <formula>30</formula>
    </cfRule>
  </conditionalFormatting>
  <conditionalFormatting sqref="N4:N76">
    <cfRule type="cellIs" dxfId="27" priority="3" operator="lessThan">
      <formula>70</formula>
    </cfRule>
  </conditionalFormatting>
  <conditionalFormatting sqref="O4:V76">
    <cfRule type="cellIs" dxfId="26" priority="2" operator="lessThan">
      <formula>20</formula>
    </cfRule>
  </conditionalFormatting>
  <conditionalFormatting sqref="W4:W76">
    <cfRule type="cellIs" dxfId="25" priority="1" operator="lessThan">
      <formula>50</formula>
    </cfRule>
  </conditionalFormatting>
  <pageMargins left="0.17" right="0.12" top="0.74803149606299213" bottom="0.74803149606299213" header="0.31496062992125984" footer="0.31496062992125984"/>
  <pageSetup paperSize="9" fitToWidth="2" fitToHeight="2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ED3B7-BCFD-4A98-9D16-69DBA1EDE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BLL</vt:lpstr>
      <vt:lpstr>GRILLE_PRINT</vt:lpstr>
      <vt:lpstr>Gr1P (2)</vt:lpstr>
      <vt:lpstr>Gr2P (2)</vt:lpstr>
      <vt:lpstr>GrEXM1S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B_Madu</dc:creator>
  <cp:lastModifiedBy>jacqu</cp:lastModifiedBy>
  <cp:lastPrinted>2021-05-21T09:30:53Z</cp:lastPrinted>
  <dcterms:created xsi:type="dcterms:W3CDTF">2019-12-12T07:48:50Z</dcterms:created>
  <dcterms:modified xsi:type="dcterms:W3CDTF">2022-09-04T11:43:12Z</dcterms:modified>
</cp:coreProperties>
</file>